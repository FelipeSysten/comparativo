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fil - Bruno\Desktop\"/>
    </mc:Choice>
  </mc:AlternateContent>
  <xr:revisionPtr revIDLastSave="0" documentId="13_ncr:1_{2171C753-6ACD-474D-91DC-9F0576AD49CC}" xr6:coauthVersionLast="47" xr6:coauthVersionMax="47" xr10:uidLastSave="{00000000-0000-0000-0000-000000000000}"/>
  <bookViews>
    <workbookView xWindow="-120" yWindow="-120" windowWidth="29040" windowHeight="15720" xr2:uid="{D510D5DD-7F97-469F-AC45-D960E2499D2C}"/>
  </bookViews>
  <sheets>
    <sheet name="SET-25" sheetId="1" r:id="rId1"/>
    <sheet name="SET-26" sheetId="2" r:id="rId2"/>
  </sheets>
  <definedNames>
    <definedName name="_xlnm._FilterDatabase" localSheetId="0" hidden="1">'SET-25'!$A$1:$L$1</definedName>
    <definedName name="_xlnm._FilterDatabase" localSheetId="1" hidden="1">'SET-26'!$A$1:$H$1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O38" i="2"/>
  <c r="O37" i="2"/>
  <c r="N37" i="2"/>
  <c r="O33" i="2"/>
  <c r="N33" i="2"/>
  <c r="O29" i="2"/>
  <c r="O28" i="2"/>
  <c r="N28" i="2"/>
  <c r="P21" i="1"/>
  <c r="O21" i="1"/>
  <c r="P22" i="1" s="1"/>
  <c r="P4" i="1"/>
  <c r="J22" i="1"/>
  <c r="K22" i="1" s="1"/>
  <c r="J24" i="1"/>
  <c r="K24" i="1" s="1"/>
  <c r="J23" i="1"/>
  <c r="K23" i="1" s="1"/>
  <c r="J27" i="1"/>
  <c r="K27" i="1" s="1"/>
  <c r="J29" i="1"/>
  <c r="K29" i="1" s="1"/>
  <c r="J30" i="1"/>
  <c r="K30" i="1" s="1"/>
  <c r="J32" i="1"/>
  <c r="K32" i="1" s="1"/>
  <c r="J31" i="1"/>
  <c r="K31" i="1" s="1"/>
  <c r="J34" i="1"/>
  <c r="K34" i="1" s="1"/>
  <c r="J36" i="1"/>
  <c r="K36" i="1" s="1"/>
  <c r="J41" i="1"/>
  <c r="K41" i="1" s="1"/>
  <c r="J39" i="1"/>
  <c r="K39" i="1" s="1"/>
  <c r="J40" i="1"/>
  <c r="K40" i="1" s="1"/>
  <c r="J42" i="1"/>
  <c r="K42" i="1" s="1"/>
  <c r="J44" i="1"/>
  <c r="K44" i="1" s="1"/>
  <c r="J48" i="1"/>
  <c r="K48" i="1" s="1"/>
  <c r="J50" i="1"/>
  <c r="K50" i="1" s="1"/>
  <c r="J45" i="1"/>
  <c r="K45" i="1" s="1"/>
  <c r="J47" i="1"/>
  <c r="K47" i="1" s="1"/>
  <c r="J55" i="1"/>
  <c r="K55" i="1" s="1"/>
  <c r="J51" i="1"/>
  <c r="K51" i="1" s="1"/>
  <c r="J53" i="1"/>
  <c r="K53" i="1" s="1"/>
  <c r="J52" i="1"/>
  <c r="K52" i="1" s="1"/>
  <c r="J57" i="1"/>
  <c r="K57" i="1" s="1"/>
  <c r="J62" i="1"/>
  <c r="K62" i="1" s="1"/>
  <c r="J60" i="1"/>
  <c r="K60" i="1" s="1"/>
  <c r="J59" i="1"/>
  <c r="K59" i="1" s="1"/>
  <c r="J56" i="1"/>
  <c r="K56" i="1" s="1"/>
  <c r="J58" i="1"/>
  <c r="K58" i="1" s="1"/>
  <c r="J83" i="1"/>
  <c r="K83" i="1" s="1"/>
  <c r="J68" i="1"/>
  <c r="K68" i="1" s="1"/>
  <c r="J75" i="1"/>
  <c r="K75" i="1" s="1"/>
  <c r="J70" i="1"/>
  <c r="K70" i="1" s="1"/>
  <c r="J76" i="1"/>
  <c r="K76" i="1" s="1"/>
  <c r="J77" i="1"/>
  <c r="K77" i="1" s="1"/>
  <c r="J82" i="1"/>
  <c r="K82" i="1" s="1"/>
  <c r="J63" i="1"/>
  <c r="K63" i="1" s="1"/>
  <c r="J78" i="1"/>
  <c r="K78" i="1" s="1"/>
  <c r="J81" i="1"/>
  <c r="K81" i="1" s="1"/>
  <c r="J73" i="1"/>
  <c r="K73" i="1" s="1"/>
  <c r="J72" i="1"/>
  <c r="K72" i="1" s="1"/>
  <c r="J65" i="1"/>
  <c r="K65" i="1" s="1"/>
  <c r="J71" i="1"/>
  <c r="K71" i="1" s="1"/>
  <c r="J84" i="1"/>
  <c r="K84" i="1" s="1"/>
  <c r="J89" i="1"/>
  <c r="K89" i="1" s="1"/>
  <c r="J86" i="1"/>
  <c r="K86" i="1" s="1"/>
  <c r="J85" i="1"/>
  <c r="K85" i="1" s="1"/>
  <c r="J92" i="1"/>
  <c r="K92" i="1" s="1"/>
  <c r="J91" i="1"/>
  <c r="K91" i="1" s="1"/>
  <c r="J88" i="1"/>
  <c r="K88" i="1" s="1"/>
  <c r="J100" i="1"/>
  <c r="K100" i="1" s="1"/>
  <c r="J96" i="1"/>
  <c r="K96" i="1" s="1"/>
  <c r="J93" i="1"/>
  <c r="K93" i="1" s="1"/>
  <c r="J87" i="1"/>
  <c r="K87" i="1" s="1"/>
  <c r="J94" i="1"/>
  <c r="K94" i="1" s="1"/>
  <c r="J98" i="1"/>
  <c r="K98" i="1" s="1"/>
  <c r="J99" i="1"/>
  <c r="K99" i="1" s="1"/>
  <c r="J108" i="1"/>
  <c r="K108" i="1" s="1"/>
  <c r="J122" i="1"/>
  <c r="K122" i="1" s="1"/>
  <c r="J121" i="1"/>
  <c r="K121" i="1" s="1"/>
  <c r="J131" i="1"/>
  <c r="K131" i="1" s="1"/>
  <c r="J113" i="1"/>
  <c r="K113" i="1" s="1"/>
  <c r="J109" i="1"/>
  <c r="K109" i="1" s="1"/>
  <c r="J119" i="1"/>
  <c r="K119" i="1" s="1"/>
  <c r="J111" i="1"/>
  <c r="K111" i="1" s="1"/>
  <c r="J123" i="1"/>
  <c r="K123" i="1" s="1"/>
  <c r="J130" i="1"/>
  <c r="K130" i="1" s="1"/>
  <c r="J104" i="1"/>
  <c r="K104" i="1" s="1"/>
  <c r="J110" i="1"/>
  <c r="K110" i="1" s="1"/>
  <c r="J105" i="1"/>
  <c r="K105" i="1" s="1"/>
  <c r="J126" i="1"/>
  <c r="K126" i="1" s="1"/>
  <c r="J112" i="1"/>
  <c r="K112" i="1" s="1"/>
  <c r="J114" i="1"/>
  <c r="K114" i="1" s="1"/>
  <c r="J127" i="1"/>
  <c r="K127" i="1" s="1"/>
  <c r="J101" i="1"/>
  <c r="K101" i="1" s="1"/>
  <c r="J133" i="1"/>
  <c r="K133" i="1" s="1"/>
  <c r="J120" i="1"/>
  <c r="K120" i="1" s="1"/>
  <c r="J124" i="1"/>
  <c r="K124" i="1" s="1"/>
  <c r="J115" i="1"/>
  <c r="K115" i="1" s="1"/>
  <c r="J118" i="1"/>
  <c r="K118" i="1" s="1"/>
  <c r="J106" i="1"/>
  <c r="K106" i="1" s="1"/>
  <c r="J128" i="1"/>
  <c r="K128" i="1" s="1"/>
  <c r="J103" i="1"/>
  <c r="K103" i="1" s="1"/>
  <c r="J132" i="1"/>
  <c r="K132" i="1" s="1"/>
  <c r="J172" i="1"/>
  <c r="K172" i="1" s="1"/>
  <c r="J148" i="1"/>
  <c r="K148" i="1" s="1"/>
  <c r="J166" i="1"/>
  <c r="K166" i="1" s="1"/>
  <c r="J165" i="1"/>
  <c r="K165" i="1" s="1"/>
  <c r="J153" i="1"/>
  <c r="K153" i="1" s="1"/>
  <c r="J150" i="1"/>
  <c r="K150" i="1" s="1"/>
  <c r="J146" i="1"/>
  <c r="K146" i="1" s="1"/>
  <c r="J156" i="1"/>
  <c r="K156" i="1" s="1"/>
  <c r="J139" i="1"/>
  <c r="K139" i="1" s="1"/>
  <c r="J168" i="1"/>
  <c r="K168" i="1" s="1"/>
  <c r="J147" i="1"/>
  <c r="K147" i="1" s="1"/>
  <c r="J164" i="1"/>
  <c r="K164" i="1" s="1"/>
  <c r="J152" i="1"/>
  <c r="K152" i="1" s="1"/>
  <c r="J137" i="1"/>
  <c r="K137" i="1" s="1"/>
  <c r="J159" i="1"/>
  <c r="K159" i="1" s="1"/>
  <c r="J173" i="1"/>
  <c r="K173" i="1" s="1"/>
  <c r="J142" i="1"/>
  <c r="K142" i="1" s="1"/>
  <c r="J154" i="1"/>
  <c r="K154" i="1" s="1"/>
  <c r="J141" i="1"/>
  <c r="K141" i="1" s="1"/>
  <c r="J155" i="1"/>
  <c r="K155" i="1" s="1"/>
  <c r="J160" i="1"/>
  <c r="K160" i="1" s="1"/>
  <c r="J163" i="1"/>
  <c r="K163" i="1" s="1"/>
  <c r="J134" i="1"/>
  <c r="K134" i="1" s="1"/>
  <c r="J135" i="1"/>
  <c r="K135" i="1" s="1"/>
  <c r="J167" i="1"/>
  <c r="K167" i="1" s="1"/>
  <c r="J143" i="1"/>
  <c r="K143" i="1" s="1"/>
  <c r="J151" i="1"/>
  <c r="K151" i="1" s="1"/>
  <c r="J171" i="1"/>
  <c r="K171" i="1" s="1"/>
  <c r="J145" i="1"/>
  <c r="K145" i="1" s="1"/>
  <c r="J161" i="1"/>
  <c r="K161" i="1" s="1"/>
  <c r="J144" i="1"/>
  <c r="K144" i="1" s="1"/>
  <c r="J158" i="1"/>
  <c r="K158" i="1" s="1"/>
  <c r="J138" i="1"/>
  <c r="K138" i="1" s="1"/>
  <c r="J174" i="1"/>
  <c r="K174" i="1" s="1"/>
  <c r="J149" i="1"/>
  <c r="K149" i="1" s="1"/>
  <c r="J169" i="1"/>
  <c r="K169" i="1" s="1"/>
  <c r="X17" i="1"/>
  <c r="J18" i="1"/>
  <c r="K18" i="1" s="1"/>
  <c r="J19" i="1"/>
  <c r="K19" i="1" s="1"/>
  <c r="J20" i="1"/>
  <c r="K20" i="1" s="1"/>
  <c r="I90" i="1"/>
  <c r="J90" i="1" s="1"/>
  <c r="K90" i="1" s="1"/>
  <c r="I102" i="1"/>
  <c r="J102" i="1" s="1"/>
  <c r="K102" i="1" s="1"/>
  <c r="I116" i="1"/>
  <c r="J116" i="1" s="1"/>
  <c r="K116" i="1" s="1"/>
  <c r="I136" i="1"/>
  <c r="J136" i="1" s="1"/>
  <c r="K136" i="1" s="1"/>
  <c r="I140" i="1"/>
  <c r="J140" i="1" s="1"/>
  <c r="K140" i="1" s="1"/>
  <c r="I157" i="1"/>
  <c r="J157" i="1" s="1"/>
  <c r="K157" i="1" s="1"/>
  <c r="I162" i="1"/>
  <c r="J162" i="1" s="1"/>
  <c r="K162" i="1" s="1"/>
  <c r="I170" i="1"/>
  <c r="J170" i="1" s="1"/>
  <c r="K170" i="1" s="1"/>
  <c r="I35" i="1"/>
  <c r="J35" i="1" s="1"/>
  <c r="K35" i="1" s="1"/>
  <c r="I66" i="1"/>
  <c r="J66" i="1" s="1"/>
  <c r="K66" i="1" s="1"/>
  <c r="I17" i="1"/>
  <c r="J17" i="1" s="1"/>
  <c r="K17" i="1" s="1"/>
  <c r="I15" i="1"/>
  <c r="J15" i="1" s="1"/>
  <c r="K15" i="1" s="1"/>
  <c r="I95" i="1"/>
  <c r="J95" i="1" s="1"/>
  <c r="K95" i="1" s="1"/>
  <c r="I97" i="1"/>
  <c r="J97" i="1" s="1"/>
  <c r="K97" i="1" s="1"/>
  <c r="I21" i="1"/>
  <c r="J21" i="1" s="1"/>
  <c r="K21" i="1" s="1"/>
  <c r="I28" i="1"/>
  <c r="J28" i="1" s="1"/>
  <c r="K28" i="1" s="1"/>
  <c r="I25" i="1"/>
  <c r="J25" i="1" s="1"/>
  <c r="K25" i="1" s="1"/>
  <c r="I67" i="1"/>
  <c r="J67" i="1" s="1"/>
  <c r="K67" i="1" s="1"/>
  <c r="I79" i="1"/>
  <c r="J79" i="1" s="1"/>
  <c r="K79" i="1" s="1"/>
  <c r="I107" i="1"/>
  <c r="J107" i="1" s="1"/>
  <c r="K107" i="1" s="1"/>
  <c r="I117" i="1"/>
  <c r="J117" i="1" s="1"/>
  <c r="K117" i="1" s="1"/>
  <c r="I125" i="1"/>
  <c r="J125" i="1" s="1"/>
  <c r="K125" i="1" s="1"/>
  <c r="I129" i="1"/>
  <c r="J129" i="1" s="1"/>
  <c r="K129" i="1" s="1"/>
  <c r="I33" i="1"/>
  <c r="J33" i="1" s="1"/>
  <c r="K33" i="1" s="1"/>
  <c r="I3" i="1"/>
  <c r="J3" i="1" s="1"/>
  <c r="K3" i="1" s="1"/>
  <c r="I26" i="1"/>
  <c r="J26" i="1" s="1"/>
  <c r="K26" i="1" s="1"/>
  <c r="I10" i="1"/>
  <c r="J10" i="1" s="1"/>
  <c r="K10" i="1" s="1"/>
  <c r="I43" i="1"/>
  <c r="J43" i="1" s="1"/>
  <c r="K43" i="1" s="1"/>
  <c r="I8" i="1"/>
  <c r="J8" i="1" s="1"/>
  <c r="K8" i="1" s="1"/>
  <c r="I12" i="1"/>
  <c r="J12" i="1" s="1"/>
  <c r="K12" i="1" s="1"/>
  <c r="I16" i="1"/>
  <c r="J16" i="1" s="1"/>
  <c r="K16" i="1" s="1"/>
  <c r="I4" i="1"/>
  <c r="J4" i="1" s="1"/>
  <c r="K4" i="1" s="1"/>
  <c r="I6" i="1"/>
  <c r="J6" i="1" s="1"/>
  <c r="K6" i="1" s="1"/>
  <c r="I9" i="1"/>
  <c r="J9" i="1" s="1"/>
  <c r="K9" i="1" s="1"/>
  <c r="I5" i="1"/>
  <c r="J5" i="1" s="1"/>
  <c r="K5" i="1" s="1"/>
  <c r="I64" i="1"/>
  <c r="J64" i="1" s="1"/>
  <c r="K64" i="1" s="1"/>
  <c r="I69" i="1"/>
  <c r="J69" i="1" s="1"/>
  <c r="K69" i="1" s="1"/>
  <c r="I14" i="1"/>
  <c r="J14" i="1" s="1"/>
  <c r="K14" i="1" s="1"/>
  <c r="I7" i="1"/>
  <c r="J7" i="1" s="1"/>
  <c r="K7" i="1" s="1"/>
  <c r="I37" i="1"/>
  <c r="J37" i="1" s="1"/>
  <c r="K37" i="1" s="1"/>
  <c r="I13" i="1"/>
  <c r="J13" i="1" s="1"/>
  <c r="K13" i="1" s="1"/>
  <c r="I11" i="1"/>
  <c r="J11" i="1" s="1"/>
  <c r="K11" i="1" s="1"/>
  <c r="I49" i="1"/>
  <c r="J49" i="1" s="1"/>
  <c r="K49" i="1" s="1"/>
  <c r="I38" i="1"/>
  <c r="J38" i="1" s="1"/>
  <c r="K38" i="1" s="1"/>
  <c r="I54" i="1"/>
  <c r="J54" i="1" s="1"/>
  <c r="K54" i="1" s="1"/>
  <c r="I46" i="1"/>
  <c r="J46" i="1" s="1"/>
  <c r="K46" i="1" s="1"/>
  <c r="I61" i="1"/>
  <c r="J61" i="1" s="1"/>
  <c r="K61" i="1" s="1"/>
  <c r="I74" i="1"/>
  <c r="J74" i="1" s="1"/>
  <c r="K74" i="1" s="1"/>
  <c r="I80" i="1"/>
  <c r="J80" i="1" s="1"/>
  <c r="K80" i="1" s="1"/>
  <c r="R7" i="1"/>
  <c r="S7" i="1" s="1"/>
  <c r="R5" i="1"/>
  <c r="R4" i="1"/>
  <c r="S4" i="1" s="1"/>
  <c r="R3" i="1"/>
  <c r="S3" i="1" s="1"/>
  <c r="J2" i="1" l="1"/>
  <c r="K2" i="1" s="1"/>
</calcChain>
</file>

<file path=xl/sharedStrings.xml><?xml version="1.0" encoding="utf-8"?>
<sst xmlns="http://schemas.openxmlformats.org/spreadsheetml/2006/main" count="729" uniqueCount="619">
  <si>
    <t>³PF/UF/CRM</t>
  </si>
  <si>
    <t>NOME  DO  MEDICO         E</t>
  </si>
  <si>
    <t>FETU</t>
  </si>
  <si>
    <t>APROV</t>
  </si>
  <si>
    <t>REJEI</t>
  </si>
  <si>
    <t>VL.REJ.VENDA</t>
  </si>
  <si>
    <t>VL.REJ.CUSTO</t>
  </si>
  <si>
    <t>INDICE³</t>
  </si>
  <si>
    <t>CRM-BA-808080</t>
  </si>
  <si>
    <t>SOLICITACAO SEM PRESCRIT</t>
  </si>
  <si>
    <t>CRM-BA-32587</t>
  </si>
  <si>
    <t>BRENO SOUZA SILVA</t>
  </si>
  <si>
    <t>CRM-BA-17611</t>
  </si>
  <si>
    <t>NILZA SANTIAGO GRANATO</t>
  </si>
  <si>
    <t>CRM-BA-22820</t>
  </si>
  <si>
    <t>LORENA DE LIMA ABUDE SIL</t>
  </si>
  <si>
    <t>CRN-BA-10686</t>
  </si>
  <si>
    <t>JOSE LUIZ CARDOSO ROCHA</t>
  </si>
  <si>
    <t>CRM-BA-13956</t>
  </si>
  <si>
    <t>RENATA SANTANA ALBANO OL</t>
  </si>
  <si>
    <t>CRN-BA-8266</t>
  </si>
  <si>
    <t>JONATAS RODRIGUES DE SAN</t>
  </si>
  <si>
    <t>CRM-BA-28850</t>
  </si>
  <si>
    <t>ALLYSON AMARAL</t>
  </si>
  <si>
    <t>CRM-BA-19575</t>
  </si>
  <si>
    <t>VALTER SILVA CARDOSO FIL</t>
  </si>
  <si>
    <t>CRM-BA-11546</t>
  </si>
  <si>
    <t>SIMONE DANTAS REBOUCAS</t>
  </si>
  <si>
    <t>CRM-BA-11166</t>
  </si>
  <si>
    <t>ADRIANA MATOS BENJAMIN L</t>
  </si>
  <si>
    <t>CRN-BA-7913</t>
  </si>
  <si>
    <t>DIEGO DE JESUS MAURICIO</t>
  </si>
  <si>
    <t>CRM-BA-14066</t>
  </si>
  <si>
    <t>ERICO DA SILVA CARVALHO</t>
  </si>
  <si>
    <t>CRM-BA-31481</t>
  </si>
  <si>
    <t>JHONATAS MASCARENHAS</t>
  </si>
  <si>
    <t>CRM-RS-59528</t>
  </si>
  <si>
    <t>VALDEMIR GONZAGA</t>
  </si>
  <si>
    <t>CRM-BA-27489</t>
  </si>
  <si>
    <t>VICTOR EDUARDO ANDRADE M</t>
  </si>
  <si>
    <t>CRM-SP-240451</t>
  </si>
  <si>
    <t>JULIA SILVESTRINI</t>
  </si>
  <si>
    <t>CRN-BA-8262</t>
  </si>
  <si>
    <t>NATALIA LIMA AMARAL</t>
  </si>
  <si>
    <t>CRN-BA-8914</t>
  </si>
  <si>
    <t>LUCY GLADS BERNARDES GOU</t>
  </si>
  <si>
    <t>CRN-BA-3633</t>
  </si>
  <si>
    <t>TATILA DOS SANTOS LIMA</t>
  </si>
  <si>
    <t>CRM-BA-28008</t>
  </si>
  <si>
    <t>RAISA MENDEZ DE ARAUJO</t>
  </si>
  <si>
    <t>CRM-BA-27500</t>
  </si>
  <si>
    <t>CAMILA PORTO OLIVEIRA</t>
  </si>
  <si>
    <t>CRN-BA-5453</t>
  </si>
  <si>
    <t>ALEXSANDRA ROSA DOS SANT</t>
  </si>
  <si>
    <t>CRM-RS-51863</t>
  </si>
  <si>
    <t>BRENDON ICARO SILVA DONA</t>
  </si>
  <si>
    <t>CRM-BA-14604</t>
  </si>
  <si>
    <t>RODRIGO OLIVEIRA GOMES D</t>
  </si>
  <si>
    <t>CRM-BA-24876</t>
  </si>
  <si>
    <t>NEY FILHO</t>
  </si>
  <si>
    <t>CRM-BA-32108</t>
  </si>
  <si>
    <t>FELIPE BUTE BONFIM</t>
  </si>
  <si>
    <t>CRM-DF-15741</t>
  </si>
  <si>
    <t>BRUNO CESAR PAZ</t>
  </si>
  <si>
    <t>CRM-BA-27714</t>
  </si>
  <si>
    <t>PAULO OLIVEIRA SANTANA F</t>
  </si>
  <si>
    <t>CRM-BA-45358</t>
  </si>
  <si>
    <t>JULIANNE LINO DE MENEZES</t>
  </si>
  <si>
    <t>CRM-SP-225107</t>
  </si>
  <si>
    <t>HELLEN GULNOSA</t>
  </si>
  <si>
    <t>CRN-BA-23482</t>
  </si>
  <si>
    <t>CARLOS ERNANI ANDRADE FI</t>
  </si>
  <si>
    <t>CRM-RJ-521161350</t>
  </si>
  <si>
    <t>JOAO CLAUDIO DE OLIVEIRA</t>
  </si>
  <si>
    <t>CRM-SP-192928</t>
  </si>
  <si>
    <t>BIANCCA CABRAL DE SOUZA</t>
  </si>
  <si>
    <t>RMS-BA-12847</t>
  </si>
  <si>
    <t>MERCIA ROSANA O. LIMA</t>
  </si>
  <si>
    <t>CRM-BA-32695</t>
  </si>
  <si>
    <t>LUCAS FREITAS DE BRITO</t>
  </si>
  <si>
    <t>CRM-BA-10671</t>
  </si>
  <si>
    <t>ROSANA SANTOS ALMEIDA</t>
  </si>
  <si>
    <t>CRM-SP-267036</t>
  </si>
  <si>
    <t>RAFAEL CUNHA VIVAS</t>
  </si>
  <si>
    <t>CREFITO-BA-173766</t>
  </si>
  <si>
    <t>MARCELLA PITOMBO ROCHA</t>
  </si>
  <si>
    <t>CRM-BA-7840</t>
  </si>
  <si>
    <t>JOSE AMERICO RESENDE JUN</t>
  </si>
  <si>
    <t>CRN-BA-7725</t>
  </si>
  <si>
    <t>DALILA FERREIRA LIMA SOU</t>
  </si>
  <si>
    <t>CRN-BA-16374</t>
  </si>
  <si>
    <t>ISABELLE DOS SANTOS COST</t>
  </si>
  <si>
    <t>CRM-BA-41831</t>
  </si>
  <si>
    <t>ARIANNE CRISTINA DE JESU</t>
  </si>
  <si>
    <t>CRM-BA-46033</t>
  </si>
  <si>
    <t>JAQUELINE LEU SANTOS</t>
  </si>
  <si>
    <t>CRO-BA-14998</t>
  </si>
  <si>
    <t>LEVITON FRANCO VELOSO NE</t>
  </si>
  <si>
    <t>CRM-PE-31038</t>
  </si>
  <si>
    <t>ICARO PEREIRA FREIRE</t>
  </si>
  <si>
    <t>CRN-BA-5186</t>
  </si>
  <si>
    <t>MARIA TERESA CRUZ</t>
  </si>
  <si>
    <t>CRM-MG-67794</t>
  </si>
  <si>
    <t>JESSICA SOUZA MARQUES</t>
  </si>
  <si>
    <t>CRBM-BA-6416</t>
  </si>
  <si>
    <t>VILMEINE BEZERRA</t>
  </si>
  <si>
    <t>CRM-BA-6019</t>
  </si>
  <si>
    <t>RAIMUNDO WASHINGTON DOS</t>
  </si>
  <si>
    <t>CRM-BA-36246</t>
  </si>
  <si>
    <t>BEATRIZ CORDEIRO VIEIRA</t>
  </si>
  <si>
    <t>CRN-BA-7025</t>
  </si>
  <si>
    <t>TAMIRIS CAMATA</t>
  </si>
  <si>
    <t>CRM-BA-19176</t>
  </si>
  <si>
    <t>NAJLA GODOY DOUEIDAR</t>
  </si>
  <si>
    <t>CRM-BA-27516</t>
  </si>
  <si>
    <t>ARTHUR D FROES</t>
  </si>
  <si>
    <t>CRM-BA-31653</t>
  </si>
  <si>
    <t>SOFIA LAFETA PINTO SANTO</t>
  </si>
  <si>
    <t>CRN-BA-25934</t>
  </si>
  <si>
    <t>FERNANDA PIZZARRO</t>
  </si>
  <si>
    <t>CRN-BA-5624</t>
  </si>
  <si>
    <t>CATHARINA CORDEIRO FERNA</t>
  </si>
  <si>
    <t>CRM-BA-3448</t>
  </si>
  <si>
    <t>ROLEMBERG MONTEIRO DA SI</t>
  </si>
  <si>
    <t>CRM-BA-27161</t>
  </si>
  <si>
    <t>MILENA CRISTINA LOPES AL</t>
  </si>
  <si>
    <t>CRM-BA-12355</t>
  </si>
  <si>
    <t>ADRIANA FONSECA RACOBALD</t>
  </si>
  <si>
    <t>CRM-SP-160179</t>
  </si>
  <si>
    <t>BRUNO MONTEZE SOARES</t>
  </si>
  <si>
    <t>CRM-BA-30137</t>
  </si>
  <si>
    <t>MARA MARTA DE ANDRADE</t>
  </si>
  <si>
    <t>CRM-BA-21783</t>
  </si>
  <si>
    <t>RAFAEL GOMES ANDRADE</t>
  </si>
  <si>
    <t>CRM-BA-20375</t>
  </si>
  <si>
    <t>FABIOLA C. DA S. FRAGA</t>
  </si>
  <si>
    <t>CRM-BA-20067</t>
  </si>
  <si>
    <t>JOANA ANGELICA DA SILVA</t>
  </si>
  <si>
    <t>COREN-BA-632294</t>
  </si>
  <si>
    <t>VIVIANE REIS</t>
  </si>
  <si>
    <t>CRM-BA-19576</t>
  </si>
  <si>
    <t>ERIKA DE ALMEIDA CARDOSO</t>
  </si>
  <si>
    <t>CRM-BA-13209</t>
  </si>
  <si>
    <t>CINATH CARQUEIJA ALMEIDA</t>
  </si>
  <si>
    <t>CRM-BA-29694</t>
  </si>
  <si>
    <t>WASHINGTON GALINDO</t>
  </si>
  <si>
    <t>CRM-BA-17284</t>
  </si>
  <si>
    <t>ALBERTO SOUZA CORREIA FI</t>
  </si>
  <si>
    <t>CRM-BA-11071</t>
  </si>
  <si>
    <t>JORGE LUIZ GONCALVES MAT</t>
  </si>
  <si>
    <t>CRN-BA-5794</t>
  </si>
  <si>
    <t>LAIS CARVALHO DA FONSECA</t>
  </si>
  <si>
    <t>CRM-BA-8917</t>
  </si>
  <si>
    <t>JORGE AVELAR DE OLIVEIRA</t>
  </si>
  <si>
    <t>CRN-BA-6562</t>
  </si>
  <si>
    <t>REBECA GOMES CAETITE</t>
  </si>
  <si>
    <t>CRM-BA-20593</t>
  </si>
  <si>
    <t>DAVID BARBOSA TANAJURA</t>
  </si>
  <si>
    <t>CRM-BA-29309</t>
  </si>
  <si>
    <t>SHEILA EVANGELISTA DE MA</t>
  </si>
  <si>
    <t>CRN-BA-5479</t>
  </si>
  <si>
    <t>ANA CELIA C. DE MELO</t>
  </si>
  <si>
    <t>CRN-BA-6709</t>
  </si>
  <si>
    <t>STHEFANIE VILAS BOAS</t>
  </si>
  <si>
    <t>CRN-BA-4828</t>
  </si>
  <si>
    <t>LEILA DARC</t>
  </si>
  <si>
    <t>CRM-BA-22798</t>
  </si>
  <si>
    <t>JULIANA PACHECO PITANGA</t>
  </si>
  <si>
    <t>CRN-BA-4937</t>
  </si>
  <si>
    <t>CAROLINE SANTOS</t>
  </si>
  <si>
    <t>CRM-BA-24100</t>
  </si>
  <si>
    <t>FERNANDA NORONHA LUZ</t>
  </si>
  <si>
    <t>CRM-BA-18177</t>
  </si>
  <si>
    <t>SHESLLEN MAIC F DE MIRAN</t>
  </si>
  <si>
    <t>CRM-BA-18035</t>
  </si>
  <si>
    <t>MURILO CUNHA RAFAEL DOS</t>
  </si>
  <si>
    <t>CRM-BA-45376</t>
  </si>
  <si>
    <t>LARA STEFHANY</t>
  </si>
  <si>
    <t>CRM-BA-42787</t>
  </si>
  <si>
    <t>FLAVIA MACEDO</t>
  </si>
  <si>
    <t>CRN-BA-14130</t>
  </si>
  <si>
    <t>YURI FREDERICO P OLIVEIR</t>
  </si>
  <si>
    <t>CRM-MA-9150</t>
  </si>
  <si>
    <t>RENATA SANTOS BELO</t>
  </si>
  <si>
    <t>CRN-BA-19136</t>
  </si>
  <si>
    <t>JESSICA CONCEICAO DOS SA</t>
  </si>
  <si>
    <t>CRM-BA-16693</t>
  </si>
  <si>
    <t>ANA PAULA SANTOS MACHADO</t>
  </si>
  <si>
    <t>CRM-BA-15671</t>
  </si>
  <si>
    <t>MOEMA BARRAL VIANA</t>
  </si>
  <si>
    <t>CRM-BA-15051</t>
  </si>
  <si>
    <t>ALCIONE MENDES DE SOUZA</t>
  </si>
  <si>
    <t>CRN-BA-18607</t>
  </si>
  <si>
    <t>MYLENA MORAIS ANDRADE</t>
  </si>
  <si>
    <t>CRM-BA-48998</t>
  </si>
  <si>
    <t>JULIA CAVALCANTE MOURA</t>
  </si>
  <si>
    <t>CRM-BA-41820</t>
  </si>
  <si>
    <t>REINALDO SALOMAO</t>
  </si>
  <si>
    <t>CRBM-BA-21255</t>
  </si>
  <si>
    <t>BRENDALINE FERREIRA TAVA</t>
  </si>
  <si>
    <t>CRM-BA-9458</t>
  </si>
  <si>
    <t>JACQUELINE MAIA FERRAZ</t>
  </si>
  <si>
    <t>CRM-RS-17827</t>
  </si>
  <si>
    <t>ADRIANE SANCHEZ CIRNE</t>
  </si>
  <si>
    <t>CRN-BA-1641</t>
  </si>
  <si>
    <t>MARIA RISOMAR DE LIMA BR</t>
  </si>
  <si>
    <t>CRM-BA-39546</t>
  </si>
  <si>
    <t>JOSERALDO FURLAN MARTINS</t>
  </si>
  <si>
    <t>CRM-BA-10905</t>
  </si>
  <si>
    <t>RITA DE CASSIA ARAUJO MA</t>
  </si>
  <si>
    <t>CRM-BA-41142</t>
  </si>
  <si>
    <t>FERNANDA ANDRADE BARBOSA</t>
  </si>
  <si>
    <t>CRN-BA-51641</t>
  </si>
  <si>
    <t>RISOMAR LIMA</t>
  </si>
  <si>
    <t>CRM-SP-166136</t>
  </si>
  <si>
    <t>ROBERTA HORA ROCHA</t>
  </si>
  <si>
    <t>CRO-BA-17803</t>
  </si>
  <si>
    <t>PEDRO DIAS RAMOS</t>
  </si>
  <si>
    <t>CRM-SC-32925</t>
  </si>
  <si>
    <t>DIEGOMAIER NUNES NERI</t>
  </si>
  <si>
    <t>CRF-BA-6149</t>
  </si>
  <si>
    <t>DANILO SANTOS DE SOUSA</t>
  </si>
  <si>
    <t>CRM-ES-14316</t>
  </si>
  <si>
    <t>MAYARA RAMOS NOGUEIRA</t>
  </si>
  <si>
    <t>CRM-ES-19650</t>
  </si>
  <si>
    <t>LEONARDO MARCHEZY</t>
  </si>
  <si>
    <t>CRM-BA-30911</t>
  </si>
  <si>
    <t>TALITA ZILENO PEREIRA</t>
  </si>
  <si>
    <t>CRM-ES-11524</t>
  </si>
  <si>
    <t>ERICO LAWRENCE</t>
  </si>
  <si>
    <t>CRM-BA-36249</t>
  </si>
  <si>
    <t>LAYSE FRAGA LIMA</t>
  </si>
  <si>
    <t>CRM-BA-37728</t>
  </si>
  <si>
    <t>ANANDA JONES NEVES</t>
  </si>
  <si>
    <t>CRM-BA-41561</t>
  </si>
  <si>
    <t>CAMILA SECCO LIBARDI VIE</t>
  </si>
  <si>
    <t>CRM-BA-40903</t>
  </si>
  <si>
    <t>AURELIO DAVID R. ALMEIDA</t>
  </si>
  <si>
    <t>CRM-BA-39096</t>
  </si>
  <si>
    <t>ALAN ROGER DA SILVA DIAS</t>
  </si>
  <si>
    <t>CRM-BA-38344</t>
  </si>
  <si>
    <t>LUCAS HABIB MARTINS</t>
  </si>
  <si>
    <t>CRN-BA-1931</t>
  </si>
  <si>
    <t>ARABELLA VARJÇO DAMACENO</t>
  </si>
  <si>
    <t>CRM-BA-39570</t>
  </si>
  <si>
    <t>ALLAN JONES DOS SANTOS</t>
  </si>
  <si>
    <t>CRM-BA-33452</t>
  </si>
  <si>
    <t>INGREDY OLIVEIRA</t>
  </si>
  <si>
    <t>CRM-BA-48299</t>
  </si>
  <si>
    <t>LAYSA FORTUNA DE OLIVEIR</t>
  </si>
  <si>
    <t>CRM-BA-49360</t>
  </si>
  <si>
    <t>IAGO FLµVIO MENDON€A DA</t>
  </si>
  <si>
    <t>CRM-BA-32685</t>
  </si>
  <si>
    <t>DANIEL ENRIQUE REZENDE D</t>
  </si>
  <si>
    <t>CRM-BA-34825</t>
  </si>
  <si>
    <t>DANDARA SANTANA MARQUES</t>
  </si>
  <si>
    <t>CRM-BA-35136</t>
  </si>
  <si>
    <t>JESSICA MENESES CELEGUIM</t>
  </si>
  <si>
    <t>CRM-BA-47451</t>
  </si>
  <si>
    <t>DAYANNE DUARTE COSTA</t>
  </si>
  <si>
    <t>CRM-BA-45043</t>
  </si>
  <si>
    <t>RAISA TAVARES</t>
  </si>
  <si>
    <t>CRM-BA-14878</t>
  </si>
  <si>
    <t>MANOEL ALEXANDRE DOS REI</t>
  </si>
  <si>
    <t>CRM-BA-18528</t>
  </si>
  <si>
    <t>BRUNO TERRA</t>
  </si>
  <si>
    <t>CRM-BA-18467</t>
  </si>
  <si>
    <t>JOANNE PAMELY RIBEIRO NU</t>
  </si>
  <si>
    <t>CRM-BA-12165</t>
  </si>
  <si>
    <t>FERNANDO DE SOUZA E LIMA</t>
  </si>
  <si>
    <t>CRN-BA-16100331</t>
  </si>
  <si>
    <t>GIOVANNA FRAGA</t>
  </si>
  <si>
    <t>CRN-BA-12860</t>
  </si>
  <si>
    <t>MARIANA UCHOA COSTA</t>
  </si>
  <si>
    <t>CRN-BA-8880</t>
  </si>
  <si>
    <t>LUANNA SANTOS BISPO PORT</t>
  </si>
  <si>
    <t>CRN-BA-8861</t>
  </si>
  <si>
    <t>QUERCIANE GONCALVES FREI</t>
  </si>
  <si>
    <t>CRN-BA-9081</t>
  </si>
  <si>
    <t>SCARLATI BRENDA DOURADO</t>
  </si>
  <si>
    <t>CRM-BA-18767</t>
  </si>
  <si>
    <t>KELLY MORAIS LIMA NASSRI</t>
  </si>
  <si>
    <t>CRM-BA-19076</t>
  </si>
  <si>
    <t>MARCUS ANDRE SOUZA CAMPO</t>
  </si>
  <si>
    <t>CRM-BA-10785</t>
  </si>
  <si>
    <t>ROSA MARIA ALVES ARAUJO</t>
  </si>
  <si>
    <t>CRN-BA-22010</t>
  </si>
  <si>
    <t>THAYS VARGAS SOUZA LOPES</t>
  </si>
  <si>
    <t>CRM-BA-16879</t>
  </si>
  <si>
    <t>GUSTHAVO PEREIRA BONIARE</t>
  </si>
  <si>
    <t>CRM-BA-16549</t>
  </si>
  <si>
    <t>CAMILO VIEIRA SANTOS</t>
  </si>
  <si>
    <t>CRM-BA-12117</t>
  </si>
  <si>
    <t>JOHN M. LEAHY FILHO</t>
  </si>
  <si>
    <t>CRM-BA-16452</t>
  </si>
  <si>
    <t>INDIRA  G . B</t>
  </si>
  <si>
    <t>CRN-BA-25055</t>
  </si>
  <si>
    <t>CAMILA COSTA GUIMARAES L</t>
  </si>
  <si>
    <t>CRM-BA-17681</t>
  </si>
  <si>
    <t>FABIO NUNES LIMA</t>
  </si>
  <si>
    <t>CRM-BA-17965</t>
  </si>
  <si>
    <t>FABIO FIGUEIREDO COSTA</t>
  </si>
  <si>
    <t>CRN-BA-15295</t>
  </si>
  <si>
    <t>JOSELMA DE OLIVEIRA SANT</t>
  </si>
  <si>
    <t>CRN-BA-18154</t>
  </si>
  <si>
    <t>MARIA LUIZA CERQUEIRA</t>
  </si>
  <si>
    <t>CRM-BA-17537</t>
  </si>
  <si>
    <t>KATIA PEREIRA SANTOS MEL</t>
  </si>
  <si>
    <t>CRN-BA-8299</t>
  </si>
  <si>
    <t>SANDRA COSTA DA SILVA ME</t>
  </si>
  <si>
    <t>CRM-BA-26361</t>
  </si>
  <si>
    <t>ANDERSON MASCARENHAS MAI</t>
  </si>
  <si>
    <t>CRM-BA-142</t>
  </si>
  <si>
    <t>MOEMA CARVALHO</t>
  </si>
  <si>
    <t>CRM-BA-27010</t>
  </si>
  <si>
    <t>INARA ALMEIDA</t>
  </si>
  <si>
    <t>CRM-BA-5273</t>
  </si>
  <si>
    <t>MARIO CHAVES ROCHA</t>
  </si>
  <si>
    <t>CRM-BA-4269</t>
  </si>
  <si>
    <t>NORMA OLIVEIRA CURVELO D</t>
  </si>
  <si>
    <t>CRN-BA-5423</t>
  </si>
  <si>
    <t>FLAVIANO CAETANO (NAO US</t>
  </si>
  <si>
    <t>CRM-BA-28390</t>
  </si>
  <si>
    <t>ANDRE QUEIROZ BARBOSA</t>
  </si>
  <si>
    <t>CRM-BA-29936</t>
  </si>
  <si>
    <t>JULIANA DOS SANTOS GENEL</t>
  </si>
  <si>
    <t>CRM-BA-30369</t>
  </si>
  <si>
    <t>VICTOR BARRETO MARQUES</t>
  </si>
  <si>
    <t>CRM-BA-27843</t>
  </si>
  <si>
    <t>THAIS PAULA REIS</t>
  </si>
  <si>
    <t>CRN-BA-5148</t>
  </si>
  <si>
    <t>CINTIA MARIA LIMA DE OLI</t>
  </si>
  <si>
    <t>CRM-BA-28385</t>
  </si>
  <si>
    <t>MONIQUE RIBEIRO DE MELO</t>
  </si>
  <si>
    <t>CRM-BA-21927</t>
  </si>
  <si>
    <t>FERNANDA ATHIE GOULART</t>
  </si>
  <si>
    <t>CRM-BA-8199</t>
  </si>
  <si>
    <t>SIMONE BORGES MACHADO</t>
  </si>
  <si>
    <t>CRM-BA-21742</t>
  </si>
  <si>
    <t>MAIANA HENRIQUES ALMEIDA</t>
  </si>
  <si>
    <t>CRM-BA-20368</t>
  </si>
  <si>
    <t>FLAVIA MENDES BATISTA</t>
  </si>
  <si>
    <t>CRM-BA-20436</t>
  </si>
  <si>
    <t>PATRICIA SANCHES PAIM DO</t>
  </si>
  <si>
    <t>CRM-BA-7869</t>
  </si>
  <si>
    <t>RICARDO AMARAL VILAS BOA</t>
  </si>
  <si>
    <t>CRM-BA-24078</t>
  </si>
  <si>
    <t>MABEL COSTA ANDRADE</t>
  </si>
  <si>
    <t>CRM-BA-24116</t>
  </si>
  <si>
    <t>CAROLINA ALMEIDA</t>
  </si>
  <si>
    <t>CRN-BA-20261</t>
  </si>
  <si>
    <t>ANA PAULA C SCHUTZ</t>
  </si>
  <si>
    <t>CRN-BA-7712</t>
  </si>
  <si>
    <t>JENIFFER DANIELLE MACHAD</t>
  </si>
  <si>
    <t>CRM-BA-14348</t>
  </si>
  <si>
    <t>MOEMA MATOS CARVALHO</t>
  </si>
  <si>
    <t>CRF-BA-21266</t>
  </si>
  <si>
    <t>ARTHUR SILVA BOMFIM</t>
  </si>
  <si>
    <t>CRM-BA-22064</t>
  </si>
  <si>
    <t>PRISCILLA DEL REY B MARG</t>
  </si>
  <si>
    <t>CRBM-BA-16403</t>
  </si>
  <si>
    <t>EURY R. R. JUNIOR</t>
  </si>
  <si>
    <t>CRM-BA-8222</t>
  </si>
  <si>
    <t>DENISE MENESES FERREIRA</t>
  </si>
  <si>
    <t>CRM-RJ-12325442</t>
  </si>
  <si>
    <t>BRUNO CARVALHO TEMOTEO</t>
  </si>
  <si>
    <t>CRN-BA-4260</t>
  </si>
  <si>
    <t>JENIFFER PRATES FONSECA</t>
  </si>
  <si>
    <t>CRF-BA-4839</t>
  </si>
  <si>
    <t>BRUNO ANDRADE AMARAL</t>
  </si>
  <si>
    <t>CRM-BA-10864</t>
  </si>
  <si>
    <t>EDUARDO VELOSO LEAHY</t>
  </si>
  <si>
    <t>CRM-SP-193189</t>
  </si>
  <si>
    <t>HELEN SUZANY PEREIRA MAG</t>
  </si>
  <si>
    <t>CRM-BA-27370</t>
  </si>
  <si>
    <t>CAROLINA MARINHO</t>
  </si>
  <si>
    <t>CRN-BA-22541</t>
  </si>
  <si>
    <t>KILIANA CAMPOS  TRINTADE</t>
  </si>
  <si>
    <t>CRN-BA-11770</t>
  </si>
  <si>
    <t>MARIANA DOS REIS</t>
  </si>
  <si>
    <t>CRN-BA-25494</t>
  </si>
  <si>
    <t>LEONARDO OLIVEIRA</t>
  </si>
  <si>
    <t>CRM-BA-30418</t>
  </si>
  <si>
    <t>CAROL AMPARO</t>
  </si>
  <si>
    <t>CRM-BA-35823</t>
  </si>
  <si>
    <t>ISABELLA DORIA NOVAIS</t>
  </si>
  <si>
    <t>CRM-BA-29592</t>
  </si>
  <si>
    <t>LAUANN CABRAL DE NOVAES</t>
  </si>
  <si>
    <t>CRM-BA-17259</t>
  </si>
  <si>
    <t>TARCYO ANTONIO SILVA BON</t>
  </si>
  <si>
    <t>CRN-BA-76018</t>
  </si>
  <si>
    <t>CHRISTIAN DIAS DA SILVA</t>
  </si>
  <si>
    <t>CRM-BA-14684</t>
  </si>
  <si>
    <t>MARCELO BONANZA MACHADO</t>
  </si>
  <si>
    <t>CRN-BA-81562</t>
  </si>
  <si>
    <t>ANA CAROLINA SA PRADO DE</t>
  </si>
  <si>
    <t>CRM-BA-19583</t>
  </si>
  <si>
    <t>JOAO LAZARO SANTANA COST</t>
  </si>
  <si>
    <t>CRM-BA-19717</t>
  </si>
  <si>
    <t>GIOVANI DE SA ALMEIDA</t>
  </si>
  <si>
    <t>CRN-BA-25522</t>
  </si>
  <si>
    <t>PEDRO GABRIEL SANTOS LIS</t>
  </si>
  <si>
    <t>CRM-CE-28127</t>
  </si>
  <si>
    <t>PABLO REGO NUNES LEAL</t>
  </si>
  <si>
    <t>CRM-MS-7618</t>
  </si>
  <si>
    <t>TAYNµ SANCHES SANTIAGO</t>
  </si>
  <si>
    <t>CRM-BA-13362</t>
  </si>
  <si>
    <t>ANDERSON SEPULVIDA PEREI</t>
  </si>
  <si>
    <t>CRM-SP-223514</t>
  </si>
  <si>
    <t>PEDRO DE CAMARGO MOSCOSO</t>
  </si>
  <si>
    <t>CRM-BA-26563</t>
  </si>
  <si>
    <t>AFONSO CAIO FAHNING CAST</t>
  </si>
  <si>
    <t>CRM-BA-13722</t>
  </si>
  <si>
    <t>CHRISTINE PINTO ROSA</t>
  </si>
  <si>
    <t>CRF-PR-30683</t>
  </si>
  <si>
    <t>LIVIA VICCARI</t>
  </si>
  <si>
    <t>CRM-BA-22959</t>
  </si>
  <si>
    <t>MARIA FIGUEIREDO ALMEIDA</t>
  </si>
  <si>
    <t>CRM-BA-31010</t>
  </si>
  <si>
    <t>HORTENCIA ANDRADE DA SIL</t>
  </si>
  <si>
    <t>CRN-SC-18100446</t>
  </si>
  <si>
    <t>TAMIRES OLIVEIRA</t>
  </si>
  <si>
    <t>CRN-BA-23684</t>
  </si>
  <si>
    <t>BEATRIZ LEONCIO</t>
  </si>
  <si>
    <t>CRN-BA-25434</t>
  </si>
  <si>
    <t>LEONILDA EUSTAQUIO</t>
  </si>
  <si>
    <t>CRN-BA-3439</t>
  </si>
  <si>
    <t>MICHELLE OLIVEIRA</t>
  </si>
  <si>
    <t>CRM-ES-9874</t>
  </si>
  <si>
    <t>JAQUELINE BIANCARDI NOGU</t>
  </si>
  <si>
    <t>CRM-MA-8483</t>
  </si>
  <si>
    <t>CLINGER MARINHO DUTRA VI</t>
  </si>
  <si>
    <t>CRN-BA-3096</t>
  </si>
  <si>
    <t>FLAVIA BELETTINI</t>
  </si>
  <si>
    <t>CRM-BA-36585</t>
  </si>
  <si>
    <t>BRUNA BUZETTI ALAGIA VAZ</t>
  </si>
  <si>
    <t>CRM-BA-24768</t>
  </si>
  <si>
    <t>BRUNO SANTOS REINEL</t>
  </si>
  <si>
    <t>CRM-RJ-52423032</t>
  </si>
  <si>
    <t>HELIDA MIRIAM DE LIMA</t>
  </si>
  <si>
    <t>CRM-MG-50913</t>
  </si>
  <si>
    <t>LUIZ AUGUSTO DE OLIVEIRA</t>
  </si>
  <si>
    <t>CRN-SP-264606</t>
  </si>
  <si>
    <t>ANA CAROLINA DE ALMEIDA</t>
  </si>
  <si>
    <t>CRM-BA-144360</t>
  </si>
  <si>
    <t>PAULO  SERGIO TRABUCO DO</t>
  </si>
  <si>
    <t>CRN-SC-11318</t>
  </si>
  <si>
    <t>CARINE MILARCH</t>
  </si>
  <si>
    <t>CRM-BA-63268</t>
  </si>
  <si>
    <t>RENAN MARCIO BOTELHO</t>
  </si>
  <si>
    <t>CRM-BA-27638</t>
  </si>
  <si>
    <t>JULIANA HARDMAN</t>
  </si>
  <si>
    <t>CRN-SP-82568</t>
  </si>
  <si>
    <t>ADRIANA RODRIGUES DELLAR</t>
  </si>
  <si>
    <t>CRN-BA-20834</t>
  </si>
  <si>
    <t>VICTTOR LAPA</t>
  </si>
  <si>
    <t>CRM-BA-34646</t>
  </si>
  <si>
    <t>FLEISES FERREIRA ALVES</t>
  </si>
  <si>
    <t>CRN-BA-5922</t>
  </si>
  <si>
    <t>GABRIELA PORTE DAVANTEL</t>
  </si>
  <si>
    <t>CRN-BA-5965</t>
  </si>
  <si>
    <t>LETHYCIA LEITE</t>
  </si>
  <si>
    <t>CRM-BA-9614</t>
  </si>
  <si>
    <t>JOSE HENRIQUE LIMA FRAN€</t>
  </si>
  <si>
    <t>CRN-BA-34782</t>
  </si>
  <si>
    <t>CAMILA GARCIA</t>
  </si>
  <si>
    <t>CRN-BA-3073</t>
  </si>
  <si>
    <t>GABRIELA SCAPELLATO NICK</t>
  </si>
  <si>
    <t>CRN-BA-11284</t>
  </si>
  <si>
    <t>UALLAS B. CARDOSO</t>
  </si>
  <si>
    <t>CRN-BA-14876</t>
  </si>
  <si>
    <t>BRUNA SANTOS</t>
  </si>
  <si>
    <t>CRN-BA-15045</t>
  </si>
  <si>
    <t>ANDREZZA OLIVEIRA SOUSA</t>
  </si>
  <si>
    <t>CRN-BA-8197</t>
  </si>
  <si>
    <t>RODRIGO SACRAMENTO DE OL</t>
  </si>
  <si>
    <t>CRM-BA-13814</t>
  </si>
  <si>
    <t>ARI PIRES DA SILVA</t>
  </si>
  <si>
    <t>CRN-RJ-25100151</t>
  </si>
  <si>
    <t>MATHEUS FERREIRA</t>
  </si>
  <si>
    <t>CRN-RJ-17101127</t>
  </si>
  <si>
    <t>ARISTOTELES ULISSES SILV</t>
  </si>
  <si>
    <t>CRM-BA-23999</t>
  </si>
  <si>
    <t>ARIANA SILVA COTRIM FAVI</t>
  </si>
  <si>
    <t>CRM-SC-25425</t>
  </si>
  <si>
    <t>JOAO VICTOR LORENZETTI N</t>
  </si>
  <si>
    <t>CRM-BA-38639</t>
  </si>
  <si>
    <t>LAURA CAMPOS</t>
  </si>
  <si>
    <t>CRM-SP-265016</t>
  </si>
  <si>
    <t>RAFAELA ANDRADE ALMEIDA</t>
  </si>
  <si>
    <t>CRM-BA-45411</t>
  </si>
  <si>
    <t>GUILHERME MATOS PIMENTEL</t>
  </si>
  <si>
    <t>CRM-BA-42514</t>
  </si>
  <si>
    <t>ELLAINE SANTOS SILVA</t>
  </si>
  <si>
    <t>CRM-BA-49875</t>
  </si>
  <si>
    <t>LINDA KELLY OLIVEIRA NEV</t>
  </si>
  <si>
    <t>CRM-BA-42397</t>
  </si>
  <si>
    <t>LAISE FERRAZ BOMJARDIN</t>
  </si>
  <si>
    <t>CRM-BA-43397</t>
  </si>
  <si>
    <t>VICTORIA E€A DE BRITO</t>
  </si>
  <si>
    <t>CRM-BA-46287</t>
  </si>
  <si>
    <t>VITOR MACEDO</t>
  </si>
  <si>
    <t>CRM-BA-43018</t>
  </si>
  <si>
    <t>ADRIELE M S CARDOSO</t>
  </si>
  <si>
    <t>CRM-GO-36346</t>
  </si>
  <si>
    <t>IGOR PEREIRA PEIXOTO GUI</t>
  </si>
  <si>
    <t>CRBM-BA-8796</t>
  </si>
  <si>
    <t>GABRIELA CARVALHO SANTOS</t>
  </si>
  <si>
    <t>CRBM-BA-14740</t>
  </si>
  <si>
    <t>CAROLAYNE S DE OLIVEIRA</t>
  </si>
  <si>
    <t>CRO-SP-138460</t>
  </si>
  <si>
    <t>ISABELLA ARAUJO DE ALMEI</t>
  </si>
  <si>
    <t>CRF-BA-8283</t>
  </si>
  <si>
    <t>LORENA FARIAS  COELHO</t>
  </si>
  <si>
    <t>CRBM-BA-2287</t>
  </si>
  <si>
    <t>NATALLY A TORRES</t>
  </si>
  <si>
    <t>CRN-BA-8313</t>
  </si>
  <si>
    <t>LUIZA MDLEJ</t>
  </si>
  <si>
    <t>CRN-BA-14295</t>
  </si>
  <si>
    <t>ELANE VERUSCA NETO MARQU</t>
  </si>
  <si>
    <t>CRN-BA-15536</t>
  </si>
  <si>
    <t>MARIA SIMONE FERREIRA SA</t>
  </si>
  <si>
    <t>CRN-BA-16896</t>
  </si>
  <si>
    <t>BERNARDINO NETO</t>
  </si>
  <si>
    <t>CRN-BA-6244</t>
  </si>
  <si>
    <t>LAIS GONCALVES MOTA DE C</t>
  </si>
  <si>
    <t>CRM-RJ-820245</t>
  </si>
  <si>
    <t>GUILHERME ALMEIDA ROSA D</t>
  </si>
  <si>
    <t>CRM-RJ-921203</t>
  </si>
  <si>
    <t>FERNANDA OLIVERA COBUCCI</t>
  </si>
  <si>
    <t>CRM-RJ-1277626</t>
  </si>
  <si>
    <t>FERNANDA MORENO DA SILVA</t>
  </si>
  <si>
    <t>CRM-MA-10001</t>
  </si>
  <si>
    <t>THAIS FERES MOREIRA LIMA</t>
  </si>
  <si>
    <t>CRM-PA-10322</t>
  </si>
  <si>
    <t>ROBERTA DIAS</t>
  </si>
  <si>
    <t>CRM-PR-17870</t>
  </si>
  <si>
    <t>SIDNEY SENHORINI JUNIOR</t>
  </si>
  <si>
    <t>CRM-SP-113134</t>
  </si>
  <si>
    <t>JANAINA MAGNA NICOLAU DA</t>
  </si>
  <si>
    <t>CRM-SP-281362</t>
  </si>
  <si>
    <t>LEONARDO FRANCHIN CHRIST</t>
  </si>
  <si>
    <t>CRM-RJ-52893447</t>
  </si>
  <si>
    <t>MILENA CARESTIATO GON€AL</t>
  </si>
  <si>
    <t>CRM-RJ-52963933</t>
  </si>
  <si>
    <t>HIGOR FILIPE VIEIRA</t>
  </si>
  <si>
    <t>CRM-RS-43396</t>
  </si>
  <si>
    <t>BRUNO LODI</t>
  </si>
  <si>
    <t>CRM-BA-28153</t>
  </si>
  <si>
    <t>TALES COSTA RAMOS</t>
  </si>
  <si>
    <t>CRM-BA-12757</t>
  </si>
  <si>
    <t>LILIANA D'ALMEIDA GALRAO</t>
  </si>
  <si>
    <t>CRM-BA-30178</t>
  </si>
  <si>
    <t>IANA MACIEL SILVA SOUZA</t>
  </si>
  <si>
    <t>CRM-BA-26194</t>
  </si>
  <si>
    <t>AMANDA MAFRA LIMA</t>
  </si>
  <si>
    <t>CRM-BA-10182</t>
  </si>
  <si>
    <t>JOSDANEI CARNEIRO SILVA</t>
  </si>
  <si>
    <t>CRM-BA-10115</t>
  </si>
  <si>
    <t>ZILDA SUELY A. DOS S. VE</t>
  </si>
  <si>
    <t>CRM-BA-32021</t>
  </si>
  <si>
    <t>MAGDA CALDEIRA MONTEIRO</t>
  </si>
  <si>
    <t>CRM-BA-23609</t>
  </si>
  <si>
    <t>TAMARA OLIVEIRA LIBORIO</t>
  </si>
  <si>
    <t>CRM-BA-16843</t>
  </si>
  <si>
    <t>REBEKA N SOBRAL MELLO</t>
  </si>
  <si>
    <t>CRM-BA-16757</t>
  </si>
  <si>
    <t>ANDRE RICARDO RAMOS CORR</t>
  </si>
  <si>
    <t>CRM-BA-19048</t>
  </si>
  <si>
    <t>FABRIZIO SILVEIRA</t>
  </si>
  <si>
    <t>CRM-BA-20443</t>
  </si>
  <si>
    <t>LARISSA FERNADEZ CORREIA</t>
  </si>
  <si>
    <t>CRM-BA-21947</t>
  </si>
  <si>
    <t>ELAINE  COSTA</t>
  </si>
  <si>
    <t>CRM-BA-23010</t>
  </si>
  <si>
    <t>SABRINA CANAL DE OLIVEIR</t>
  </si>
  <si>
    <t>CRM-BA-20698</t>
  </si>
  <si>
    <t>ROBERTO DO CARMO E SILVA</t>
  </si>
  <si>
    <t>CRM-BA-16024</t>
  </si>
  <si>
    <t>GUSTAVO MAGNO BAPTISTA</t>
  </si>
  <si>
    <t>CRM-BA-20970</t>
  </si>
  <si>
    <t>LUIZ ANTONIO RODRIGUES</t>
  </si>
  <si>
    <t>CRM-BA-41324</t>
  </si>
  <si>
    <t>MANOELA CASTRO</t>
  </si>
  <si>
    <t>CRM-BA-39581</t>
  </si>
  <si>
    <t>ARI ROGERIO MARTINS BUCA</t>
  </si>
  <si>
    <t>CRM-BA-39018</t>
  </si>
  <si>
    <t>THABATA LESSA DOS ANJOS</t>
  </si>
  <si>
    <t>CRM-BA-35250</t>
  </si>
  <si>
    <t>MATHEUS LAGARI€A</t>
  </si>
  <si>
    <t>CRM-BA-38130</t>
  </si>
  <si>
    <t>ENOCK MARTINS DA C JUNIO</t>
  </si>
  <si>
    <t>CRM-BA-40246</t>
  </si>
  <si>
    <t>ADRIELLE ALMEIDA DE JESU</t>
  </si>
  <si>
    <t>CRM-BA-41169</t>
  </si>
  <si>
    <t>ALTAIR B. NETA</t>
  </si>
  <si>
    <t>CRM-BA-6335</t>
  </si>
  <si>
    <t>PAULO OLIVEIRA FARIAS</t>
  </si>
  <si>
    <t>CRM-BA-4813</t>
  </si>
  <si>
    <t>MARCELO NUNES DE AQUINO</t>
  </si>
  <si>
    <t>CRM-BA-33829</t>
  </si>
  <si>
    <t>JAQUELINE MASLONEK</t>
  </si>
  <si>
    <t>MAIS QUE 10</t>
  </si>
  <si>
    <t>ITEM</t>
  </si>
  <si>
    <t>CONV</t>
  </si>
  <si>
    <t>TOTAL ORC</t>
  </si>
  <si>
    <t>TOTA MED</t>
  </si>
  <si>
    <t>DIF</t>
  </si>
  <si>
    <t>OK</t>
  </si>
  <si>
    <t>108 MEDICOS 100% REJ</t>
  </si>
  <si>
    <t>MED 100% REJ</t>
  </si>
  <si>
    <t>EFETUADOS</t>
  </si>
  <si>
    <t>DIFER</t>
  </si>
  <si>
    <t>%</t>
  </si>
  <si>
    <t>efet</t>
  </si>
  <si>
    <t>aprov</t>
  </si>
  <si>
    <t>FETU 25</t>
  </si>
  <si>
    <t>disconsdera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</si>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</sst>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10" fontId="0" fillId="0" borderId="0" xfId="0" applyNumberForma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0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2" fillId="0" borderId="0" xfId="0" applyFont="1" applyAlignment="1">
      <alignment vertical="center"/>
    </xf>
    <xf numFmtId="164" fontId="0" fillId="0" borderId="1" xfId="1" applyNumberFormat="1" applyFont="1" applyBorder="1" applyAlignment="1">
      <alignment vertical="center"/>
    </xf>
    <xf numFmtId="17" fontId="3" fillId="2" borderId="1" xfId="0" applyNumberFormat="1" applyFont="1" applyFill="1" applyBorder="1" applyAlignment="1">
      <alignment horizontal="center" vertical="center"/>
    </xf>
    <xf numFmtId="10" fontId="4" fillId="0" borderId="0" xfId="0" applyNumberFormat="1" applyFont="1" applyAlignment="1">
      <alignment vertical="center"/>
    </xf>
    <xf numFmtId="10" fontId="2" fillId="0" borderId="1" xfId="0" applyNumberFormat="1" applyFont="1" applyBorder="1" applyAlignment="1">
      <alignment vertical="center"/>
    </xf>
    <xf numFmtId="9" fontId="0" fillId="0" borderId="1" xfId="1" applyFont="1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64" fontId="0" fillId="2" borderId="1" xfId="1" applyNumberFormat="1" applyFont="1" applyFill="1" applyBorder="1" applyAlignment="1">
      <alignment vertical="center"/>
    </xf>
    <xf numFmtId="10" fontId="0" fillId="2" borderId="0" xfId="1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vertical="center"/>
    </xf>
    <xf numFmtId="10" fontId="0" fillId="3" borderId="1" xfId="0" applyNumberForma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9" fontId="0" fillId="5" borderId="1" xfId="0" applyNumberForma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5B3A0-1A9B-4FF9-8747-E0F2C1E80F28}">
  <dimension ref="A1:Z176"/>
  <sheetViews>
    <sheetView tabSelected="1" zoomScale="120" zoomScaleNormal="120" workbookViewId="0">
      <pane ySplit="1" topLeftCell="A2" activePane="bottomLeft" state="frozen"/>
      <selection pane="bottomLeft" activeCell="Q10" sqref="Q10"/>
    </sheetView>
  </sheetViews>
  <sheetFormatPr defaultRowHeight="15" x14ac:dyDescent="0.25"/>
  <cols>
    <col min="1" max="1" width="19" style="1" bestFit="1" customWidth="1"/>
    <col min="2" max="2" width="29.7109375" style="1" bestFit="1" customWidth="1"/>
    <col min="3" max="5" width="9.140625" style="1"/>
    <col min="6" max="6" width="11.42578125" style="1" customWidth="1"/>
    <col min="7" max="8" width="9.140625" style="1"/>
    <col min="9" max="9" width="9.5703125" style="1" bestFit="1" customWidth="1"/>
    <col min="10" max="10" width="9.28515625" style="1" customWidth="1"/>
    <col min="11" max="11" width="9.140625" style="1"/>
    <col min="12" max="12" width="11.5703125" style="1" bestFit="1" customWidth="1"/>
    <col min="13" max="14" width="9.140625" style="1"/>
    <col min="15" max="15" width="13.42578125" style="1" bestFit="1" customWidth="1"/>
    <col min="16" max="16384" width="9.140625" style="1"/>
  </cols>
  <sheetData>
    <row r="1" spans="1:19" ht="23.25" customHeight="1" x14ac:dyDescent="0.25">
      <c r="A1" s="5" t="s">
        <v>0</v>
      </c>
      <c r="B1" s="5" t="s">
        <v>1</v>
      </c>
      <c r="C1" s="5" t="s">
        <v>616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5">
        <v>2026</v>
      </c>
      <c r="J1" s="25" t="s">
        <v>612</v>
      </c>
      <c r="K1" s="25" t="s">
        <v>613</v>
      </c>
      <c r="L1" s="5"/>
    </row>
    <row r="2" spans="1:19" x14ac:dyDescent="0.25">
      <c r="A2" s="6" t="s">
        <v>8</v>
      </c>
      <c r="B2" s="6" t="s">
        <v>9</v>
      </c>
      <c r="C2" s="9">
        <v>413</v>
      </c>
      <c r="D2" s="6">
        <v>179</v>
      </c>
      <c r="E2" s="6">
        <v>234</v>
      </c>
      <c r="F2" s="8">
        <v>41312.300000000003</v>
      </c>
      <c r="G2" s="8">
        <v>6525.27</v>
      </c>
      <c r="H2" s="7">
        <v>0.56659999999999999</v>
      </c>
      <c r="I2" s="8">
        <f>VLOOKUP(B2,'SET-26'!B$2:H$174,2,FALSE)</f>
        <v>179</v>
      </c>
      <c r="J2" s="17">
        <f t="shared" ref="J2:J33" si="0">I2-C2</f>
        <v>-234</v>
      </c>
      <c r="K2" s="7">
        <f t="shared" ref="K2:K33" si="1">J2/C2</f>
        <v>-0.56658595641646492</v>
      </c>
      <c r="L2" s="7" t="s">
        <v>617</v>
      </c>
      <c r="O2" s="5" t="s">
        <v>603</v>
      </c>
      <c r="P2" s="13">
        <v>45901</v>
      </c>
      <c r="Q2" s="13">
        <v>46266</v>
      </c>
      <c r="R2" s="5" t="s">
        <v>607</v>
      </c>
      <c r="S2" s="5"/>
    </row>
    <row r="3" spans="1:19" x14ac:dyDescent="0.25">
      <c r="A3" s="6" t="s">
        <v>10</v>
      </c>
      <c r="B3" s="6" t="s">
        <v>11</v>
      </c>
      <c r="C3" s="30">
        <v>219</v>
      </c>
      <c r="D3" s="6">
        <v>121</v>
      </c>
      <c r="E3" s="6">
        <v>98</v>
      </c>
      <c r="F3" s="8">
        <v>43816.95</v>
      </c>
      <c r="G3" s="8">
        <v>8349.52</v>
      </c>
      <c r="H3" s="7">
        <v>0.44750000000000001</v>
      </c>
      <c r="I3" s="8">
        <f>VLOOKUP(B3,'SET-26'!B$2:H$174,2,FALSE)</f>
        <v>147</v>
      </c>
      <c r="J3" s="17">
        <f t="shared" si="0"/>
        <v>-72</v>
      </c>
      <c r="K3" s="26">
        <f t="shared" si="1"/>
        <v>-0.32876712328767121</v>
      </c>
      <c r="L3" s="7"/>
      <c r="O3" s="6" t="s">
        <v>602</v>
      </c>
      <c r="P3" s="6">
        <v>37</v>
      </c>
      <c r="Q3" s="6">
        <v>23</v>
      </c>
      <c r="R3" s="28">
        <f>P3-Q3</f>
        <v>14</v>
      </c>
      <c r="S3" s="12">
        <f>R3/P3</f>
        <v>0.3783783783783784</v>
      </c>
    </row>
    <row r="4" spans="1:19" x14ac:dyDescent="0.25">
      <c r="A4" s="6" t="s">
        <v>12</v>
      </c>
      <c r="B4" s="6" t="s">
        <v>13</v>
      </c>
      <c r="C4" s="30">
        <v>218</v>
      </c>
      <c r="D4" s="6">
        <v>142</v>
      </c>
      <c r="E4" s="6">
        <v>76</v>
      </c>
      <c r="F4" s="8">
        <v>13185.4</v>
      </c>
      <c r="G4" s="8">
        <v>2155.4499999999998</v>
      </c>
      <c r="H4" s="7">
        <v>0.34860000000000002</v>
      </c>
      <c r="I4" s="8">
        <f>VLOOKUP(B4,'SET-26'!B$2:H$174,2,FALSE)</f>
        <v>116</v>
      </c>
      <c r="J4" s="17">
        <f t="shared" si="0"/>
        <v>-102</v>
      </c>
      <c r="K4" s="7">
        <f t="shared" si="1"/>
        <v>-0.46788990825688076</v>
      </c>
      <c r="L4" s="7"/>
      <c r="O4" s="6" t="s">
        <v>605</v>
      </c>
      <c r="P4" s="6">
        <f>2407-66</f>
        <v>2341</v>
      </c>
      <c r="Q4" s="6">
        <v>1786</v>
      </c>
      <c r="R4" s="28">
        <f>P4-Q4</f>
        <v>555</v>
      </c>
      <c r="S4" s="12">
        <f>R4/P4</f>
        <v>0.23707817172148654</v>
      </c>
    </row>
    <row r="5" spans="1:19" x14ac:dyDescent="0.25">
      <c r="A5" s="6" t="s">
        <v>14</v>
      </c>
      <c r="B5" s="6" t="s">
        <v>15</v>
      </c>
      <c r="C5" s="30">
        <v>171</v>
      </c>
      <c r="D5" s="6">
        <v>124</v>
      </c>
      <c r="E5" s="6">
        <v>47</v>
      </c>
      <c r="F5" s="8">
        <v>9037</v>
      </c>
      <c r="G5" s="8">
        <v>1397.63</v>
      </c>
      <c r="H5" s="7">
        <v>0.27489999999999998</v>
      </c>
      <c r="I5" s="8">
        <f>VLOOKUP(B5,'SET-26'!B$2:H$174,2,FALSE)</f>
        <v>141</v>
      </c>
      <c r="J5" s="17">
        <f t="shared" si="0"/>
        <v>-30</v>
      </c>
      <c r="K5" s="7">
        <f t="shared" si="1"/>
        <v>-0.17543859649122806</v>
      </c>
      <c r="L5" s="7"/>
      <c r="O5" s="6" t="s">
        <v>604</v>
      </c>
      <c r="P5" s="10">
        <v>0.56999999999999995</v>
      </c>
      <c r="Q5" s="10">
        <v>0.5</v>
      </c>
      <c r="R5" s="29">
        <f>P5-Q5</f>
        <v>6.9999999999999951E-2</v>
      </c>
      <c r="S5" s="6"/>
    </row>
    <row r="6" spans="1:19" x14ac:dyDescent="0.25">
      <c r="A6" s="6" t="s">
        <v>16</v>
      </c>
      <c r="B6" s="6" t="s">
        <v>17</v>
      </c>
      <c r="C6" s="30">
        <v>105</v>
      </c>
      <c r="D6" s="6">
        <v>72</v>
      </c>
      <c r="E6" s="6">
        <v>33</v>
      </c>
      <c r="F6" s="8">
        <v>5054</v>
      </c>
      <c r="G6" s="6">
        <v>838.16</v>
      </c>
      <c r="H6" s="7">
        <v>0.31430000000000002</v>
      </c>
      <c r="I6" s="8">
        <f>VLOOKUP(B6,'SET-26'!B$2:H$174,2,FALSE)</f>
        <v>76</v>
      </c>
      <c r="J6" s="17">
        <f t="shared" si="0"/>
        <v>-29</v>
      </c>
      <c r="K6" s="7">
        <f t="shared" si="1"/>
        <v>-0.27619047619047621</v>
      </c>
      <c r="L6" s="7"/>
      <c r="O6" s="6" t="s">
        <v>606</v>
      </c>
      <c r="P6" s="21">
        <v>173</v>
      </c>
      <c r="Q6" s="6">
        <v>173</v>
      </c>
      <c r="R6" s="22" t="s">
        <v>608</v>
      </c>
      <c r="S6" s="6"/>
    </row>
    <row r="7" spans="1:19" x14ac:dyDescent="0.25">
      <c r="A7" s="6" t="s">
        <v>20</v>
      </c>
      <c r="B7" s="6" t="s">
        <v>21</v>
      </c>
      <c r="C7" s="30">
        <v>102</v>
      </c>
      <c r="D7" s="6">
        <v>79</v>
      </c>
      <c r="E7" s="6">
        <v>23</v>
      </c>
      <c r="F7" s="8">
        <v>6863.5</v>
      </c>
      <c r="G7" s="8">
        <v>1164.48</v>
      </c>
      <c r="H7" s="7">
        <v>0.22550000000000001</v>
      </c>
      <c r="I7" s="8">
        <f>VLOOKUP(B7,'SET-26'!B$2:H$174,2,FALSE)</f>
        <v>58</v>
      </c>
      <c r="J7" s="17">
        <f t="shared" si="0"/>
        <v>-44</v>
      </c>
      <c r="K7" s="7">
        <f t="shared" si="1"/>
        <v>-0.43137254901960786</v>
      </c>
      <c r="L7" s="7"/>
      <c r="O7" s="6" t="s">
        <v>610</v>
      </c>
      <c r="P7" s="6">
        <v>96</v>
      </c>
      <c r="Q7" s="6">
        <v>108</v>
      </c>
      <c r="R7" s="6">
        <f>Q7-P7</f>
        <v>12</v>
      </c>
      <c r="S7" s="16">
        <f>R7/P7</f>
        <v>0.125</v>
      </c>
    </row>
    <row r="8" spans="1:19" x14ac:dyDescent="0.25">
      <c r="A8" s="6" t="s">
        <v>18</v>
      </c>
      <c r="B8" s="6" t="s">
        <v>19</v>
      </c>
      <c r="C8" s="30">
        <v>71</v>
      </c>
      <c r="D8" s="6">
        <v>45</v>
      </c>
      <c r="E8" s="6">
        <v>26</v>
      </c>
      <c r="F8" s="8">
        <v>4350.5</v>
      </c>
      <c r="G8" s="6">
        <v>737.87</v>
      </c>
      <c r="H8" s="7">
        <v>0.36620000000000003</v>
      </c>
      <c r="I8" s="8">
        <f>VLOOKUP(B8,'SET-26'!B$2:H$174,2,FALSE)</f>
        <v>50</v>
      </c>
      <c r="J8" s="17">
        <f t="shared" si="0"/>
        <v>-21</v>
      </c>
      <c r="K8" s="7">
        <f t="shared" si="1"/>
        <v>-0.29577464788732394</v>
      </c>
      <c r="L8" s="7"/>
    </row>
    <row r="9" spans="1:19" x14ac:dyDescent="0.25">
      <c r="A9" s="6" t="s">
        <v>26</v>
      </c>
      <c r="B9" s="6" t="s">
        <v>27</v>
      </c>
      <c r="C9" s="30">
        <v>71</v>
      </c>
      <c r="D9" s="6">
        <v>51</v>
      </c>
      <c r="E9" s="6">
        <v>20</v>
      </c>
      <c r="F9" s="8">
        <v>2143.4</v>
      </c>
      <c r="G9" s="6">
        <v>250.76</v>
      </c>
      <c r="H9" s="7">
        <v>0.28170000000000001</v>
      </c>
      <c r="I9" s="8">
        <f>VLOOKUP(B9,'SET-26'!B$2:H$174,2,FALSE)</f>
        <v>12</v>
      </c>
      <c r="J9" s="17">
        <f t="shared" si="0"/>
        <v>-59</v>
      </c>
      <c r="K9" s="7">
        <f t="shared" si="1"/>
        <v>-0.83098591549295775</v>
      </c>
      <c r="L9" s="7"/>
    </row>
    <row r="10" spans="1:19" x14ac:dyDescent="0.25">
      <c r="A10" s="6" t="s">
        <v>22</v>
      </c>
      <c r="B10" s="6" t="s">
        <v>23</v>
      </c>
      <c r="C10" s="30">
        <v>55</v>
      </c>
      <c r="D10" s="6">
        <v>33</v>
      </c>
      <c r="E10" s="6">
        <v>22</v>
      </c>
      <c r="F10" s="8">
        <v>8663.5</v>
      </c>
      <c r="G10" s="8">
        <v>1831.15</v>
      </c>
      <c r="H10" s="7">
        <v>0.4</v>
      </c>
      <c r="I10" s="8">
        <f>VLOOKUP(B10,'SET-26'!B$2:H$174,2,FALSE)</f>
        <v>67</v>
      </c>
      <c r="J10" s="17">
        <f t="shared" si="0"/>
        <v>12</v>
      </c>
      <c r="K10" s="27">
        <f t="shared" si="1"/>
        <v>0.21818181818181817</v>
      </c>
      <c r="L10" s="7"/>
    </row>
    <row r="11" spans="1:19" x14ac:dyDescent="0.25">
      <c r="A11" s="6" t="s">
        <v>48</v>
      </c>
      <c r="B11" s="6" t="s">
        <v>49</v>
      </c>
      <c r="C11" s="30">
        <v>53</v>
      </c>
      <c r="D11" s="6">
        <v>44</v>
      </c>
      <c r="E11" s="6">
        <v>9</v>
      </c>
      <c r="F11" s="8">
        <v>1285</v>
      </c>
      <c r="G11" s="6">
        <v>231.77</v>
      </c>
      <c r="H11" s="7">
        <v>0.16980000000000001</v>
      </c>
      <c r="I11" s="8">
        <f>VLOOKUP(B11,'SET-26'!B$2:H$174,2,FALSE)</f>
        <v>47</v>
      </c>
      <c r="J11" s="17">
        <f t="shared" si="0"/>
        <v>-6</v>
      </c>
      <c r="K11" s="7">
        <f t="shared" si="1"/>
        <v>-0.11320754716981132</v>
      </c>
      <c r="L11" s="7"/>
    </row>
    <row r="12" spans="1:19" x14ac:dyDescent="0.25">
      <c r="A12" s="6" t="s">
        <v>30</v>
      </c>
      <c r="B12" s="6" t="s">
        <v>31</v>
      </c>
      <c r="C12" s="30">
        <v>41</v>
      </c>
      <c r="D12" s="6">
        <v>26</v>
      </c>
      <c r="E12" s="6">
        <v>15</v>
      </c>
      <c r="F12" s="8">
        <v>6904</v>
      </c>
      <c r="G12" s="8">
        <v>1701.16</v>
      </c>
      <c r="H12" s="7">
        <v>0.3659</v>
      </c>
      <c r="I12" s="8">
        <f>VLOOKUP(B12,'SET-26'!B$2:H$174,2,FALSE)</f>
        <v>6</v>
      </c>
      <c r="J12" s="17">
        <f t="shared" si="0"/>
        <v>-35</v>
      </c>
      <c r="K12" s="7">
        <f t="shared" si="1"/>
        <v>-0.85365853658536583</v>
      </c>
      <c r="L12" s="7" t="s">
        <v>618</v>
      </c>
    </row>
    <row r="13" spans="1:19" x14ac:dyDescent="0.25">
      <c r="A13" s="6" t="s">
        <v>64</v>
      </c>
      <c r="B13" s="6" t="s">
        <v>65</v>
      </c>
      <c r="C13" s="30">
        <v>37</v>
      </c>
      <c r="D13" s="6">
        <v>30</v>
      </c>
      <c r="E13" s="6">
        <v>7</v>
      </c>
      <c r="F13" s="8">
        <v>1386.3</v>
      </c>
      <c r="G13" s="6">
        <v>228.68</v>
      </c>
      <c r="H13" s="7">
        <v>0.18920000000000001</v>
      </c>
      <c r="I13" s="8">
        <f>VLOOKUP(B13,'SET-26'!B$2:H$174,2,FALSE)</f>
        <v>23</v>
      </c>
      <c r="J13" s="17">
        <f t="shared" si="0"/>
        <v>-14</v>
      </c>
      <c r="K13" s="7">
        <f t="shared" si="1"/>
        <v>-0.3783783783783784</v>
      </c>
      <c r="L13" s="7" t="s">
        <v>618</v>
      </c>
    </row>
    <row r="14" spans="1:19" x14ac:dyDescent="0.25">
      <c r="A14" s="6" t="s">
        <v>58</v>
      </c>
      <c r="B14" s="6" t="s">
        <v>59</v>
      </c>
      <c r="C14" s="30">
        <v>33</v>
      </c>
      <c r="D14" s="6">
        <v>25</v>
      </c>
      <c r="E14" s="6">
        <v>8</v>
      </c>
      <c r="F14" s="8">
        <v>1435.5</v>
      </c>
      <c r="G14" s="6">
        <v>284.26</v>
      </c>
      <c r="H14" s="7">
        <v>0.2424</v>
      </c>
      <c r="I14" s="8">
        <f>VLOOKUP(B14,'SET-26'!B$2:H$174,2,FALSE)</f>
        <v>9</v>
      </c>
      <c r="J14" s="17">
        <f t="shared" si="0"/>
        <v>-24</v>
      </c>
      <c r="K14" s="27">
        <f t="shared" si="1"/>
        <v>-0.72727272727272729</v>
      </c>
      <c r="L14" s="7"/>
    </row>
    <row r="15" spans="1:19" x14ac:dyDescent="0.25">
      <c r="A15" s="6" t="s">
        <v>24</v>
      </c>
      <c r="B15" s="6" t="s">
        <v>25</v>
      </c>
      <c r="C15" s="30">
        <v>33</v>
      </c>
      <c r="D15" s="6">
        <v>11</v>
      </c>
      <c r="E15" s="6">
        <v>22</v>
      </c>
      <c r="F15" s="8">
        <v>3368.5</v>
      </c>
      <c r="G15" s="6">
        <v>440.75</v>
      </c>
      <c r="H15" s="7">
        <v>0.66669999999999996</v>
      </c>
      <c r="I15" s="8">
        <f>VLOOKUP(B15,'SET-26'!B$2:H$174,2,FALSE)</f>
        <v>11</v>
      </c>
      <c r="J15" s="17">
        <f t="shared" si="0"/>
        <v>-22</v>
      </c>
      <c r="K15" s="7">
        <f t="shared" si="1"/>
        <v>-0.66666666666666663</v>
      </c>
      <c r="L15" s="7"/>
    </row>
    <row r="16" spans="1:19" x14ac:dyDescent="0.25">
      <c r="A16" s="6" t="s">
        <v>38</v>
      </c>
      <c r="B16" s="6" t="s">
        <v>39</v>
      </c>
      <c r="C16" s="30">
        <v>28</v>
      </c>
      <c r="D16" s="6">
        <v>18</v>
      </c>
      <c r="E16" s="6">
        <v>10</v>
      </c>
      <c r="F16" s="8">
        <v>1910.5</v>
      </c>
      <c r="G16" s="6">
        <v>333.51</v>
      </c>
      <c r="H16" s="7">
        <v>0.35709999999999997</v>
      </c>
      <c r="I16" s="8">
        <f>VLOOKUP(B16,'SET-26'!B$2:H$174,2,FALSE)</f>
        <v>19</v>
      </c>
      <c r="J16" s="17">
        <f t="shared" si="0"/>
        <v>-9</v>
      </c>
      <c r="K16" s="7">
        <f t="shared" si="1"/>
        <v>-0.32142857142857145</v>
      </c>
      <c r="L16" s="7"/>
    </row>
    <row r="17" spans="1:26" x14ac:dyDescent="0.25">
      <c r="A17" s="6" t="s">
        <v>32</v>
      </c>
      <c r="B17" s="6" t="s">
        <v>33</v>
      </c>
      <c r="C17" s="30">
        <v>20</v>
      </c>
      <c r="D17" s="6">
        <v>6</v>
      </c>
      <c r="E17" s="6">
        <v>14</v>
      </c>
      <c r="F17" s="8">
        <v>6711.5</v>
      </c>
      <c r="G17" s="8">
        <v>1275.06</v>
      </c>
      <c r="H17" s="7">
        <v>0.7</v>
      </c>
      <c r="I17" s="8">
        <f>VLOOKUP(B17,'SET-26'!B$2:H$174,2,FALSE)</f>
        <v>6</v>
      </c>
      <c r="J17" s="17">
        <f t="shared" si="0"/>
        <v>-14</v>
      </c>
      <c r="K17" s="7">
        <f t="shared" si="1"/>
        <v>-0.7</v>
      </c>
      <c r="L17" s="7"/>
      <c r="O17" s="6" t="s">
        <v>42</v>
      </c>
      <c r="P17" s="18" t="s">
        <v>43</v>
      </c>
      <c r="Q17" s="19">
        <v>66</v>
      </c>
      <c r="R17" s="18">
        <v>57</v>
      </c>
      <c r="S17" s="18">
        <v>9</v>
      </c>
      <c r="T17" s="8">
        <v>1323</v>
      </c>
      <c r="U17" s="6">
        <v>184.4</v>
      </c>
      <c r="V17" s="7">
        <v>0.13639999999999999</v>
      </c>
      <c r="W17" s="8">
        <v>0</v>
      </c>
      <c r="X17" s="17">
        <f>W17-Q17</f>
        <v>-66</v>
      </c>
      <c r="Y17" s="7"/>
      <c r="Z17" s="7"/>
    </row>
    <row r="18" spans="1:26" x14ac:dyDescent="0.25">
      <c r="A18" s="6" t="s">
        <v>44</v>
      </c>
      <c r="B18" s="6" t="s">
        <v>45</v>
      </c>
      <c r="C18" s="30">
        <v>18</v>
      </c>
      <c r="D18" s="6">
        <v>9</v>
      </c>
      <c r="E18" s="6">
        <v>9</v>
      </c>
      <c r="F18" s="8">
        <v>2160</v>
      </c>
      <c r="G18" s="6">
        <v>368.23</v>
      </c>
      <c r="H18" s="7">
        <v>0.5</v>
      </c>
      <c r="I18" s="8">
        <v>0</v>
      </c>
      <c r="J18" s="17">
        <f t="shared" si="0"/>
        <v>-18</v>
      </c>
      <c r="K18" s="7">
        <f t="shared" si="1"/>
        <v>-1</v>
      </c>
      <c r="L18" s="7"/>
    </row>
    <row r="19" spans="1:26" x14ac:dyDescent="0.25">
      <c r="A19" s="6" t="s">
        <v>28</v>
      </c>
      <c r="B19" s="6" t="s">
        <v>29</v>
      </c>
      <c r="C19" s="30">
        <v>17</v>
      </c>
      <c r="D19" s="6">
        <v>0</v>
      </c>
      <c r="E19" s="6">
        <v>17</v>
      </c>
      <c r="F19" s="8">
        <v>1996</v>
      </c>
      <c r="G19" s="6">
        <v>248.97</v>
      </c>
      <c r="H19" s="15">
        <v>1</v>
      </c>
      <c r="I19" s="8">
        <v>0</v>
      </c>
      <c r="J19" s="17">
        <f t="shared" si="0"/>
        <v>-17</v>
      </c>
      <c r="K19" s="7">
        <f t="shared" si="1"/>
        <v>-1</v>
      </c>
      <c r="L19" s="7"/>
    </row>
    <row r="20" spans="1:26" x14ac:dyDescent="0.25">
      <c r="A20" s="6" t="s">
        <v>68</v>
      </c>
      <c r="B20" s="6" t="s">
        <v>69</v>
      </c>
      <c r="C20" s="30">
        <v>17</v>
      </c>
      <c r="D20" s="6">
        <v>10</v>
      </c>
      <c r="E20" s="6">
        <v>7</v>
      </c>
      <c r="F20" s="8">
        <v>1807</v>
      </c>
      <c r="G20" s="6">
        <v>280.14999999999998</v>
      </c>
      <c r="H20" s="7">
        <v>0.4118</v>
      </c>
      <c r="I20" s="8">
        <v>0</v>
      </c>
      <c r="J20" s="17">
        <f t="shared" si="0"/>
        <v>-17</v>
      </c>
      <c r="K20" s="7">
        <f t="shared" si="1"/>
        <v>-1</v>
      </c>
      <c r="L20" s="7"/>
      <c r="O20" s="20" t="s">
        <v>611</v>
      </c>
    </row>
    <row r="21" spans="1:26" x14ac:dyDescent="0.25">
      <c r="A21" s="6" t="s">
        <v>46</v>
      </c>
      <c r="B21" s="6" t="s">
        <v>47</v>
      </c>
      <c r="C21" s="9">
        <v>16</v>
      </c>
      <c r="D21" s="6">
        <v>7</v>
      </c>
      <c r="E21" s="6">
        <v>9</v>
      </c>
      <c r="F21" s="8">
        <v>2516</v>
      </c>
      <c r="G21" s="6">
        <v>584.22</v>
      </c>
      <c r="H21" s="7">
        <v>0.5625</v>
      </c>
      <c r="I21" s="8">
        <f>VLOOKUP(B21,'SET-26'!B$2:H$174,2,FALSE)</f>
        <v>18</v>
      </c>
      <c r="J21" s="17">
        <f t="shared" si="0"/>
        <v>2</v>
      </c>
      <c r="K21" s="7">
        <f t="shared" si="1"/>
        <v>0.125</v>
      </c>
      <c r="L21" s="7"/>
      <c r="O21" s="1">
        <f>SUM(C2:C176)</f>
        <v>2341</v>
      </c>
      <c r="P21" s="1">
        <f>SUM(D2:D176)</f>
        <v>1228</v>
      </c>
    </row>
    <row r="22" spans="1:26" x14ac:dyDescent="0.25">
      <c r="A22" s="6" t="s">
        <v>86</v>
      </c>
      <c r="B22" s="6" t="s">
        <v>87</v>
      </c>
      <c r="C22" s="9">
        <v>15</v>
      </c>
      <c r="D22" s="6">
        <v>9</v>
      </c>
      <c r="E22" s="6">
        <v>6</v>
      </c>
      <c r="F22" s="8">
        <v>1327</v>
      </c>
      <c r="G22" s="6">
        <v>231.79</v>
      </c>
      <c r="H22" s="7">
        <v>0.4</v>
      </c>
      <c r="I22" s="8">
        <v>0</v>
      </c>
      <c r="J22" s="17">
        <f t="shared" si="0"/>
        <v>-15</v>
      </c>
      <c r="K22" s="7">
        <f t="shared" si="1"/>
        <v>-1</v>
      </c>
      <c r="L22" s="7"/>
      <c r="P22" s="1">
        <f>P21/O21</f>
        <v>0.52456215292609998</v>
      </c>
    </row>
    <row r="23" spans="1:26" x14ac:dyDescent="0.25">
      <c r="A23" s="6" t="s">
        <v>52</v>
      </c>
      <c r="B23" s="6" t="s">
        <v>53</v>
      </c>
      <c r="C23" s="9">
        <v>14</v>
      </c>
      <c r="D23" s="6">
        <v>5</v>
      </c>
      <c r="E23" s="6">
        <v>9</v>
      </c>
      <c r="F23" s="8">
        <v>1234</v>
      </c>
      <c r="G23" s="6">
        <v>197.52</v>
      </c>
      <c r="H23" s="7">
        <v>0.64290000000000003</v>
      </c>
      <c r="I23" s="8">
        <v>0</v>
      </c>
      <c r="J23" s="17">
        <f t="shared" si="0"/>
        <v>-14</v>
      </c>
      <c r="K23" s="7">
        <f t="shared" si="1"/>
        <v>-1</v>
      </c>
      <c r="L23" s="7"/>
    </row>
    <row r="24" spans="1:26" x14ac:dyDescent="0.25">
      <c r="A24" s="6" t="s">
        <v>34</v>
      </c>
      <c r="B24" s="6" t="s">
        <v>35</v>
      </c>
      <c r="C24" s="9">
        <v>14</v>
      </c>
      <c r="D24" s="6">
        <v>0</v>
      </c>
      <c r="E24" s="6">
        <v>14</v>
      </c>
      <c r="F24" s="8">
        <v>2786</v>
      </c>
      <c r="G24" s="6">
        <v>539.26</v>
      </c>
      <c r="H24" s="15">
        <v>1</v>
      </c>
      <c r="I24" s="8">
        <v>0</v>
      </c>
      <c r="J24" s="17">
        <f t="shared" si="0"/>
        <v>-14</v>
      </c>
      <c r="K24" s="7">
        <f t="shared" si="1"/>
        <v>-1</v>
      </c>
      <c r="L24" s="7"/>
    </row>
    <row r="25" spans="1:26" x14ac:dyDescent="0.25">
      <c r="A25" s="6" t="s">
        <v>66</v>
      </c>
      <c r="B25" s="6" t="s">
        <v>67</v>
      </c>
      <c r="C25" s="9">
        <v>14</v>
      </c>
      <c r="D25" s="6">
        <v>7</v>
      </c>
      <c r="E25" s="6">
        <v>7</v>
      </c>
      <c r="F25" s="6">
        <v>951.5</v>
      </c>
      <c r="G25" s="6">
        <v>125.35</v>
      </c>
      <c r="H25" s="7">
        <v>0.5</v>
      </c>
      <c r="I25" s="8">
        <f>VLOOKUP(B25,'SET-26'!B$2:H$174,2,FALSE)</f>
        <v>6</v>
      </c>
      <c r="J25" s="17">
        <f t="shared" si="0"/>
        <v>-8</v>
      </c>
      <c r="K25" s="7">
        <f t="shared" si="1"/>
        <v>-0.5714285714285714</v>
      </c>
      <c r="L25" s="7"/>
    </row>
    <row r="26" spans="1:26" x14ac:dyDescent="0.25">
      <c r="A26" s="6" t="s">
        <v>82</v>
      </c>
      <c r="B26" s="6" t="s">
        <v>83</v>
      </c>
      <c r="C26" s="9">
        <v>14</v>
      </c>
      <c r="D26" s="6">
        <v>8</v>
      </c>
      <c r="E26" s="6">
        <v>6</v>
      </c>
      <c r="F26" s="8">
        <v>1868.5</v>
      </c>
      <c r="G26" s="6">
        <v>300.77999999999997</v>
      </c>
      <c r="H26" s="7">
        <v>0.42859999999999998</v>
      </c>
      <c r="I26" s="8">
        <f>VLOOKUP(B26,'SET-26'!B$2:H$174,2,FALSE)</f>
        <v>3</v>
      </c>
      <c r="J26" s="17">
        <f t="shared" si="0"/>
        <v>-11</v>
      </c>
      <c r="K26" s="7">
        <f t="shared" si="1"/>
        <v>-0.7857142857142857</v>
      </c>
      <c r="L26" s="7"/>
    </row>
    <row r="27" spans="1:26" x14ac:dyDescent="0.25">
      <c r="A27" s="6" t="s">
        <v>198</v>
      </c>
      <c r="B27" s="6" t="s">
        <v>199</v>
      </c>
      <c r="C27" s="9">
        <v>13</v>
      </c>
      <c r="D27" s="6">
        <v>11</v>
      </c>
      <c r="E27" s="6">
        <v>2</v>
      </c>
      <c r="F27" s="6">
        <v>262.5</v>
      </c>
      <c r="G27" s="6">
        <v>28.26</v>
      </c>
      <c r="H27" s="7">
        <v>0.15379999999999999</v>
      </c>
      <c r="I27" s="8">
        <v>0</v>
      </c>
      <c r="J27" s="17">
        <f t="shared" si="0"/>
        <v>-13</v>
      </c>
      <c r="K27" s="7">
        <f t="shared" si="1"/>
        <v>-1</v>
      </c>
      <c r="L27" s="7"/>
    </row>
    <row r="28" spans="1:26" x14ac:dyDescent="0.25">
      <c r="A28" s="6" t="s">
        <v>60</v>
      </c>
      <c r="B28" s="6" t="s">
        <v>61</v>
      </c>
      <c r="C28" s="9">
        <v>13</v>
      </c>
      <c r="D28" s="6">
        <v>6</v>
      </c>
      <c r="E28" s="6">
        <v>7</v>
      </c>
      <c r="F28" s="6">
        <v>861.5</v>
      </c>
      <c r="G28" s="6">
        <v>122.39</v>
      </c>
      <c r="H28" s="7">
        <v>0.53849999999999998</v>
      </c>
      <c r="I28" s="8">
        <f>VLOOKUP(B28,'SET-26'!B$2:H$174,2,FALSE)</f>
        <v>7</v>
      </c>
      <c r="J28" s="17">
        <f t="shared" si="0"/>
        <v>-6</v>
      </c>
      <c r="K28" s="7">
        <f t="shared" si="1"/>
        <v>-0.46153846153846156</v>
      </c>
      <c r="L28" s="7"/>
    </row>
    <row r="29" spans="1:26" x14ac:dyDescent="0.25">
      <c r="A29" s="6" t="s">
        <v>56</v>
      </c>
      <c r="B29" s="6" t="s">
        <v>57</v>
      </c>
      <c r="C29" s="9">
        <v>13</v>
      </c>
      <c r="D29" s="6">
        <v>5</v>
      </c>
      <c r="E29" s="6">
        <v>8</v>
      </c>
      <c r="F29" s="6">
        <v>762.5</v>
      </c>
      <c r="G29" s="6">
        <v>92.36</v>
      </c>
      <c r="H29" s="7">
        <v>0.61539999999999995</v>
      </c>
      <c r="I29" s="8">
        <v>0</v>
      </c>
      <c r="J29" s="17">
        <f t="shared" si="0"/>
        <v>-13</v>
      </c>
      <c r="K29" s="7">
        <f t="shared" si="1"/>
        <v>-1</v>
      </c>
      <c r="L29" s="7"/>
    </row>
    <row r="30" spans="1:26" x14ac:dyDescent="0.25">
      <c r="A30" s="6" t="s">
        <v>36</v>
      </c>
      <c r="B30" s="6" t="s">
        <v>37</v>
      </c>
      <c r="C30" s="9">
        <v>13</v>
      </c>
      <c r="D30" s="6">
        <v>0</v>
      </c>
      <c r="E30" s="6">
        <v>13</v>
      </c>
      <c r="F30" s="8">
        <v>1887</v>
      </c>
      <c r="G30" s="6">
        <v>241.37</v>
      </c>
      <c r="H30" s="15">
        <v>1</v>
      </c>
      <c r="I30" s="8">
        <v>0</v>
      </c>
      <c r="J30" s="17">
        <f t="shared" si="0"/>
        <v>-13</v>
      </c>
      <c r="K30" s="7">
        <f t="shared" si="1"/>
        <v>-1</v>
      </c>
      <c r="L30" s="7"/>
    </row>
    <row r="31" spans="1:26" x14ac:dyDescent="0.25">
      <c r="A31" s="6" t="s">
        <v>62</v>
      </c>
      <c r="B31" s="6" t="s">
        <v>63</v>
      </c>
      <c r="C31" s="9">
        <v>11</v>
      </c>
      <c r="D31" s="6">
        <v>4</v>
      </c>
      <c r="E31" s="6">
        <v>7</v>
      </c>
      <c r="F31" s="6">
        <v>596.5</v>
      </c>
      <c r="G31" s="6">
        <v>54.45</v>
      </c>
      <c r="H31" s="7">
        <v>0.63639999999999997</v>
      </c>
      <c r="I31" s="8">
        <v>0</v>
      </c>
      <c r="J31" s="17">
        <f t="shared" si="0"/>
        <v>-11</v>
      </c>
      <c r="K31" s="7">
        <f t="shared" si="1"/>
        <v>-1</v>
      </c>
      <c r="L31" s="7"/>
    </row>
    <row r="32" spans="1:26" x14ac:dyDescent="0.25">
      <c r="A32" s="6" t="s">
        <v>298</v>
      </c>
      <c r="B32" s="6" t="s">
        <v>299</v>
      </c>
      <c r="C32" s="9">
        <v>11</v>
      </c>
      <c r="D32" s="6">
        <v>10</v>
      </c>
      <c r="E32" s="6">
        <v>1</v>
      </c>
      <c r="F32" s="6">
        <v>80.5</v>
      </c>
      <c r="G32" s="6">
        <v>4.1900000000000004</v>
      </c>
      <c r="H32" s="7">
        <v>9.0899999999999995E-2</v>
      </c>
      <c r="I32" s="8">
        <v>0</v>
      </c>
      <c r="J32" s="17">
        <f t="shared" si="0"/>
        <v>-11</v>
      </c>
      <c r="K32" s="7">
        <f t="shared" si="1"/>
        <v>-1</v>
      </c>
      <c r="L32" s="7"/>
    </row>
    <row r="33" spans="1:12" x14ac:dyDescent="0.25">
      <c r="A33" s="6" t="s">
        <v>94</v>
      </c>
      <c r="B33" s="6" t="s">
        <v>95</v>
      </c>
      <c r="C33" s="9">
        <v>11</v>
      </c>
      <c r="D33" s="6">
        <v>6</v>
      </c>
      <c r="E33" s="6">
        <v>5</v>
      </c>
      <c r="F33" s="6">
        <v>773</v>
      </c>
      <c r="G33" s="6">
        <v>120.43</v>
      </c>
      <c r="H33" s="7">
        <v>0.45450000000000002</v>
      </c>
      <c r="I33" s="8">
        <f>VLOOKUP(B33,'SET-26'!B$2:H$174,2,FALSE)</f>
        <v>2</v>
      </c>
      <c r="J33" s="17">
        <f t="shared" si="0"/>
        <v>-9</v>
      </c>
      <c r="K33" s="7">
        <f t="shared" si="1"/>
        <v>-0.81818181818181823</v>
      </c>
      <c r="L33" s="7"/>
    </row>
    <row r="34" spans="1:12" x14ac:dyDescent="0.25">
      <c r="A34" s="6" t="s">
        <v>76</v>
      </c>
      <c r="B34" s="6" t="s">
        <v>77</v>
      </c>
      <c r="C34" s="9">
        <v>11</v>
      </c>
      <c r="D34" s="6">
        <v>4</v>
      </c>
      <c r="E34" s="6">
        <v>7</v>
      </c>
      <c r="F34" s="6">
        <v>616.5</v>
      </c>
      <c r="G34" s="6">
        <v>71.349999999999994</v>
      </c>
      <c r="H34" s="7">
        <v>0.63639999999999997</v>
      </c>
      <c r="I34" s="8">
        <v>0</v>
      </c>
      <c r="J34" s="17">
        <f t="shared" ref="J34:J65" si="2">I34-C34</f>
        <v>-11</v>
      </c>
      <c r="K34" s="7">
        <f t="shared" ref="K34:K65" si="3">J34/C34</f>
        <v>-1</v>
      </c>
      <c r="L34" s="7"/>
    </row>
    <row r="35" spans="1:12" x14ac:dyDescent="0.25">
      <c r="A35" s="6" t="s">
        <v>50</v>
      </c>
      <c r="B35" s="6" t="s">
        <v>51</v>
      </c>
      <c r="C35" s="9">
        <v>10</v>
      </c>
      <c r="D35" s="6">
        <v>1</v>
      </c>
      <c r="E35" s="6">
        <v>9</v>
      </c>
      <c r="F35" s="6">
        <v>759</v>
      </c>
      <c r="G35" s="6">
        <v>105.56</v>
      </c>
      <c r="H35" s="7">
        <v>0.9</v>
      </c>
      <c r="I35" s="8">
        <f>VLOOKUP(B35,'SET-26'!B$2:H$174,2,FALSE)</f>
        <v>28</v>
      </c>
      <c r="J35" s="17">
        <f t="shared" si="2"/>
        <v>18</v>
      </c>
      <c r="K35" s="7">
        <f t="shared" si="3"/>
        <v>1.8</v>
      </c>
      <c r="L35" s="7"/>
    </row>
    <row r="36" spans="1:12" x14ac:dyDescent="0.25">
      <c r="A36" s="6" t="s">
        <v>40</v>
      </c>
      <c r="B36" s="6" t="s">
        <v>41</v>
      </c>
      <c r="C36" s="9">
        <v>10</v>
      </c>
      <c r="D36" s="6">
        <v>0</v>
      </c>
      <c r="E36" s="6">
        <v>10</v>
      </c>
      <c r="F36" s="8">
        <v>1498.5</v>
      </c>
      <c r="G36" s="6">
        <v>185.51</v>
      </c>
      <c r="H36" s="15">
        <v>1</v>
      </c>
      <c r="I36" s="8">
        <v>0</v>
      </c>
      <c r="J36" s="17">
        <f t="shared" si="2"/>
        <v>-10</v>
      </c>
      <c r="K36" s="7">
        <f t="shared" si="3"/>
        <v>-1</v>
      </c>
      <c r="L36" s="7"/>
    </row>
    <row r="37" spans="1:12" x14ac:dyDescent="0.25">
      <c r="A37" s="6" t="s">
        <v>166</v>
      </c>
      <c r="B37" s="6" t="s">
        <v>167</v>
      </c>
      <c r="C37" s="9">
        <v>10</v>
      </c>
      <c r="D37" s="6">
        <v>8</v>
      </c>
      <c r="E37" s="6">
        <v>2</v>
      </c>
      <c r="F37" s="6">
        <v>362</v>
      </c>
      <c r="G37" s="6">
        <v>51.88</v>
      </c>
      <c r="H37" s="7">
        <v>0.2</v>
      </c>
      <c r="I37" s="8">
        <f>VLOOKUP(B37,'SET-26'!B$2:H$174,2,FALSE)</f>
        <v>8</v>
      </c>
      <c r="J37" s="17">
        <f t="shared" si="2"/>
        <v>-2</v>
      </c>
      <c r="K37" s="7">
        <f t="shared" si="3"/>
        <v>-0.2</v>
      </c>
      <c r="L37" s="7"/>
    </row>
    <row r="38" spans="1:12" x14ac:dyDescent="0.25">
      <c r="A38" s="6" t="s">
        <v>328</v>
      </c>
      <c r="B38" s="6" t="s">
        <v>329</v>
      </c>
      <c r="C38" s="9">
        <v>10</v>
      </c>
      <c r="D38" s="6">
        <v>9</v>
      </c>
      <c r="E38" s="6">
        <v>1</v>
      </c>
      <c r="F38" s="6">
        <v>61.5</v>
      </c>
      <c r="G38" s="6">
        <v>7.42</v>
      </c>
      <c r="H38" s="7">
        <v>0.1</v>
      </c>
      <c r="I38" s="8">
        <f>VLOOKUP(B38,'SET-26'!B$2:H$174,2,FALSE)</f>
        <v>3</v>
      </c>
      <c r="J38" s="17">
        <f t="shared" si="2"/>
        <v>-7</v>
      </c>
      <c r="K38" s="7">
        <f t="shared" si="3"/>
        <v>-0.7</v>
      </c>
      <c r="L38" s="7"/>
    </row>
    <row r="39" spans="1:12" x14ac:dyDescent="0.25">
      <c r="A39" s="6" t="s">
        <v>54</v>
      </c>
      <c r="B39" s="6" t="s">
        <v>55</v>
      </c>
      <c r="C39" s="6">
        <v>8</v>
      </c>
      <c r="D39" s="6">
        <v>0</v>
      </c>
      <c r="E39" s="6">
        <v>8</v>
      </c>
      <c r="F39" s="8">
        <v>1979.5</v>
      </c>
      <c r="G39" s="6">
        <v>306.47000000000003</v>
      </c>
      <c r="H39" s="15">
        <v>1</v>
      </c>
      <c r="I39" s="8">
        <v>0</v>
      </c>
      <c r="J39" s="17">
        <f t="shared" si="2"/>
        <v>-8</v>
      </c>
      <c r="K39" s="7">
        <f t="shared" si="3"/>
        <v>-1</v>
      </c>
      <c r="L39" s="7"/>
    </row>
    <row r="40" spans="1:12" x14ac:dyDescent="0.25">
      <c r="A40" s="6" t="s">
        <v>90</v>
      </c>
      <c r="B40" s="6" t="s">
        <v>91</v>
      </c>
      <c r="C40" s="6">
        <v>8</v>
      </c>
      <c r="D40" s="6">
        <v>3</v>
      </c>
      <c r="E40" s="6">
        <v>5</v>
      </c>
      <c r="F40" s="6">
        <v>780</v>
      </c>
      <c r="G40" s="6">
        <v>113.7</v>
      </c>
      <c r="H40" s="7">
        <v>0.625</v>
      </c>
      <c r="I40" s="8">
        <v>0</v>
      </c>
      <c r="J40" s="17">
        <f t="shared" si="2"/>
        <v>-8</v>
      </c>
      <c r="K40" s="7">
        <f t="shared" si="3"/>
        <v>-1</v>
      </c>
      <c r="L40" s="7"/>
    </row>
    <row r="41" spans="1:12" x14ac:dyDescent="0.25">
      <c r="A41" s="6" t="s">
        <v>78</v>
      </c>
      <c r="B41" s="6" t="s">
        <v>79</v>
      </c>
      <c r="C41" s="6">
        <v>8</v>
      </c>
      <c r="D41" s="6">
        <v>2</v>
      </c>
      <c r="E41" s="6">
        <v>6</v>
      </c>
      <c r="F41" s="8">
        <v>1035</v>
      </c>
      <c r="G41" s="6">
        <v>190.78</v>
      </c>
      <c r="H41" s="7">
        <v>0.75</v>
      </c>
      <c r="I41" s="8">
        <v>0</v>
      </c>
      <c r="J41" s="17">
        <f t="shared" si="2"/>
        <v>-8</v>
      </c>
      <c r="K41" s="7">
        <f t="shared" si="3"/>
        <v>-1</v>
      </c>
      <c r="L41" s="7"/>
    </row>
    <row r="42" spans="1:12" x14ac:dyDescent="0.25">
      <c r="A42" s="6" t="s">
        <v>110</v>
      </c>
      <c r="B42" s="6" t="s">
        <v>111</v>
      </c>
      <c r="C42" s="6">
        <v>8</v>
      </c>
      <c r="D42" s="6">
        <v>4</v>
      </c>
      <c r="E42" s="6">
        <v>4</v>
      </c>
      <c r="F42" s="6">
        <v>645.5</v>
      </c>
      <c r="G42" s="6">
        <v>87.62</v>
      </c>
      <c r="H42" s="7">
        <v>0.5</v>
      </c>
      <c r="I42" s="8">
        <v>0</v>
      </c>
      <c r="J42" s="17">
        <f t="shared" si="2"/>
        <v>-8</v>
      </c>
      <c r="K42" s="7">
        <f t="shared" si="3"/>
        <v>-1</v>
      </c>
      <c r="L42" s="7"/>
    </row>
    <row r="43" spans="1:12" x14ac:dyDescent="0.25">
      <c r="A43" s="6" t="s">
        <v>138</v>
      </c>
      <c r="B43" s="6" t="s">
        <v>139</v>
      </c>
      <c r="C43" s="6">
        <v>8</v>
      </c>
      <c r="D43" s="6">
        <v>5</v>
      </c>
      <c r="E43" s="6">
        <v>3</v>
      </c>
      <c r="F43" s="6">
        <v>784</v>
      </c>
      <c r="G43" s="6">
        <v>101.81</v>
      </c>
      <c r="H43" s="7">
        <v>0.375</v>
      </c>
      <c r="I43" s="8">
        <f>VLOOKUP(B43,'SET-26'!B$2:H$174,2,FALSE)</f>
        <v>2</v>
      </c>
      <c r="J43" s="17">
        <f t="shared" si="2"/>
        <v>-6</v>
      </c>
      <c r="K43" s="7">
        <f t="shared" si="3"/>
        <v>-0.75</v>
      </c>
      <c r="L43" s="7"/>
    </row>
    <row r="44" spans="1:12" x14ac:dyDescent="0.25">
      <c r="A44" s="6" t="s">
        <v>92</v>
      </c>
      <c r="B44" s="6" t="s">
        <v>93</v>
      </c>
      <c r="C44" s="6">
        <v>7</v>
      </c>
      <c r="D44" s="6">
        <v>2</v>
      </c>
      <c r="E44" s="6">
        <v>5</v>
      </c>
      <c r="F44" s="8">
        <v>1416</v>
      </c>
      <c r="G44" s="6">
        <v>264.54000000000002</v>
      </c>
      <c r="H44" s="7">
        <v>0.71430000000000005</v>
      </c>
      <c r="I44" s="8">
        <v>0</v>
      </c>
      <c r="J44" s="17">
        <f t="shared" si="2"/>
        <v>-7</v>
      </c>
      <c r="K44" s="7">
        <f t="shared" si="3"/>
        <v>-1</v>
      </c>
      <c r="L44" s="7"/>
    </row>
    <row r="45" spans="1:12" x14ac:dyDescent="0.25">
      <c r="A45" s="6" t="s">
        <v>74</v>
      </c>
      <c r="B45" s="6" t="s">
        <v>75</v>
      </c>
      <c r="C45" s="6">
        <v>7</v>
      </c>
      <c r="D45" s="6">
        <v>0</v>
      </c>
      <c r="E45" s="6">
        <v>7</v>
      </c>
      <c r="F45" s="8">
        <v>3113.5</v>
      </c>
      <c r="G45" s="6">
        <v>701.8</v>
      </c>
      <c r="H45" s="15">
        <v>1</v>
      </c>
      <c r="I45" s="8">
        <v>0</v>
      </c>
      <c r="J45" s="17">
        <f t="shared" si="2"/>
        <v>-7</v>
      </c>
      <c r="K45" s="7">
        <f t="shared" si="3"/>
        <v>-1</v>
      </c>
      <c r="L45" s="7"/>
    </row>
    <row r="46" spans="1:12" x14ac:dyDescent="0.25">
      <c r="A46" s="6" t="s">
        <v>70</v>
      </c>
      <c r="B46" s="6" t="s">
        <v>71</v>
      </c>
      <c r="C46" s="6">
        <v>7</v>
      </c>
      <c r="D46" s="6">
        <v>0</v>
      </c>
      <c r="E46" s="6">
        <v>7</v>
      </c>
      <c r="F46" s="6">
        <v>450.5</v>
      </c>
      <c r="G46" s="6">
        <v>24.88</v>
      </c>
      <c r="H46" s="15">
        <v>1</v>
      </c>
      <c r="I46" s="8">
        <f>VLOOKUP(B46,'SET-26'!B$2:H$174,2,FALSE)</f>
        <v>3</v>
      </c>
      <c r="J46" s="17">
        <f t="shared" si="2"/>
        <v>-4</v>
      </c>
      <c r="K46" s="7">
        <f t="shared" si="3"/>
        <v>-0.5714285714285714</v>
      </c>
      <c r="L46" s="7"/>
    </row>
    <row r="47" spans="1:12" x14ac:dyDescent="0.25">
      <c r="A47" s="6" t="s">
        <v>352</v>
      </c>
      <c r="B47" s="6" t="s">
        <v>353</v>
      </c>
      <c r="C47" s="6">
        <v>7</v>
      </c>
      <c r="D47" s="6">
        <v>6</v>
      </c>
      <c r="E47" s="6">
        <v>1</v>
      </c>
      <c r="F47" s="6">
        <v>179.55</v>
      </c>
      <c r="G47" s="6">
        <v>70.28</v>
      </c>
      <c r="H47" s="7">
        <v>0.1429</v>
      </c>
      <c r="I47" s="8">
        <v>0</v>
      </c>
      <c r="J47" s="17">
        <f t="shared" si="2"/>
        <v>-7</v>
      </c>
      <c r="K47" s="7">
        <f t="shared" si="3"/>
        <v>-1</v>
      </c>
      <c r="L47" s="7"/>
    </row>
    <row r="48" spans="1:12" x14ac:dyDescent="0.25">
      <c r="A48" s="6" t="s">
        <v>72</v>
      </c>
      <c r="B48" s="6" t="s">
        <v>73</v>
      </c>
      <c r="C48" s="6">
        <v>7</v>
      </c>
      <c r="D48" s="6">
        <v>0</v>
      </c>
      <c r="E48" s="6">
        <v>7</v>
      </c>
      <c r="F48" s="6">
        <v>467</v>
      </c>
      <c r="G48" s="6">
        <v>31.33</v>
      </c>
      <c r="H48" s="15">
        <v>1</v>
      </c>
      <c r="I48" s="8">
        <v>0</v>
      </c>
      <c r="J48" s="17">
        <f t="shared" si="2"/>
        <v>-7</v>
      </c>
      <c r="K48" s="7">
        <f t="shared" si="3"/>
        <v>-1</v>
      </c>
      <c r="L48" s="7"/>
    </row>
    <row r="49" spans="1:12" x14ac:dyDescent="0.25">
      <c r="A49" s="6" t="s">
        <v>316</v>
      </c>
      <c r="B49" s="6" t="s">
        <v>317</v>
      </c>
      <c r="C49" s="6">
        <v>7</v>
      </c>
      <c r="D49" s="6">
        <v>6</v>
      </c>
      <c r="E49" s="6">
        <v>1</v>
      </c>
      <c r="F49" s="6">
        <v>195</v>
      </c>
      <c r="G49" s="6">
        <v>32.159999999999997</v>
      </c>
      <c r="H49" s="7">
        <v>0.1429</v>
      </c>
      <c r="I49" s="8">
        <f>VLOOKUP(B49,'SET-26'!B$2:H$174,2,FALSE)</f>
        <v>4</v>
      </c>
      <c r="J49" s="17">
        <f t="shared" si="2"/>
        <v>-3</v>
      </c>
      <c r="K49" s="7">
        <f t="shared" si="3"/>
        <v>-0.42857142857142855</v>
      </c>
      <c r="L49" s="7"/>
    </row>
    <row r="50" spans="1:12" x14ac:dyDescent="0.25">
      <c r="A50" s="6" t="s">
        <v>214</v>
      </c>
      <c r="B50" s="6" t="s">
        <v>215</v>
      </c>
      <c r="C50" s="6">
        <v>7</v>
      </c>
      <c r="D50" s="6">
        <v>6</v>
      </c>
      <c r="E50" s="6">
        <v>1</v>
      </c>
      <c r="F50" s="6">
        <v>186.5</v>
      </c>
      <c r="G50" s="6">
        <v>20.8</v>
      </c>
      <c r="H50" s="7">
        <v>0.1429</v>
      </c>
      <c r="I50" s="8">
        <v>0</v>
      </c>
      <c r="J50" s="17">
        <f t="shared" si="2"/>
        <v>-7</v>
      </c>
      <c r="K50" s="7">
        <f t="shared" si="3"/>
        <v>-1</v>
      </c>
      <c r="L50" s="7"/>
    </row>
    <row r="51" spans="1:12" x14ac:dyDescent="0.25">
      <c r="A51" s="6" t="s">
        <v>310</v>
      </c>
      <c r="B51" s="6" t="s">
        <v>311</v>
      </c>
      <c r="C51" s="6">
        <v>6</v>
      </c>
      <c r="D51" s="6">
        <v>5</v>
      </c>
      <c r="E51" s="6">
        <v>1</v>
      </c>
      <c r="F51" s="6">
        <v>646</v>
      </c>
      <c r="G51" s="6">
        <v>114.56</v>
      </c>
      <c r="H51" s="7">
        <v>0.16669999999999999</v>
      </c>
      <c r="I51" s="8">
        <v>0</v>
      </c>
      <c r="J51" s="17">
        <f t="shared" si="2"/>
        <v>-6</v>
      </c>
      <c r="K51" s="7">
        <f t="shared" si="3"/>
        <v>-1</v>
      </c>
      <c r="L51" s="7"/>
    </row>
    <row r="52" spans="1:12" x14ac:dyDescent="0.25">
      <c r="A52" s="6" t="s">
        <v>88</v>
      </c>
      <c r="B52" s="6" t="s">
        <v>89</v>
      </c>
      <c r="C52" s="6">
        <v>6</v>
      </c>
      <c r="D52" s="6">
        <v>0</v>
      </c>
      <c r="E52" s="6">
        <v>6</v>
      </c>
      <c r="F52" s="6">
        <v>875.5</v>
      </c>
      <c r="G52" s="6">
        <v>164.44</v>
      </c>
      <c r="H52" s="15">
        <v>1</v>
      </c>
      <c r="I52" s="8">
        <v>0</v>
      </c>
      <c r="J52" s="17">
        <f t="shared" si="2"/>
        <v>-6</v>
      </c>
      <c r="K52" s="7">
        <f t="shared" si="3"/>
        <v>-1</v>
      </c>
      <c r="L52" s="7"/>
    </row>
    <row r="53" spans="1:12" x14ac:dyDescent="0.25">
      <c r="A53" s="6" t="s">
        <v>270</v>
      </c>
      <c r="B53" s="6" t="s">
        <v>271</v>
      </c>
      <c r="C53" s="6">
        <v>6</v>
      </c>
      <c r="D53" s="6">
        <v>5</v>
      </c>
      <c r="E53" s="6">
        <v>1</v>
      </c>
      <c r="F53" s="6">
        <v>199</v>
      </c>
      <c r="G53" s="6">
        <v>30.01</v>
      </c>
      <c r="H53" s="7">
        <v>0.16669999999999999</v>
      </c>
      <c r="I53" s="8">
        <v>0</v>
      </c>
      <c r="J53" s="17">
        <f t="shared" si="2"/>
        <v>-6</v>
      </c>
      <c r="K53" s="7">
        <f t="shared" si="3"/>
        <v>-1</v>
      </c>
      <c r="L53" s="7"/>
    </row>
    <row r="54" spans="1:12" x14ac:dyDescent="0.25">
      <c r="A54" s="6" t="s">
        <v>84</v>
      </c>
      <c r="B54" s="6" t="s">
        <v>85</v>
      </c>
      <c r="C54" s="6">
        <v>6</v>
      </c>
      <c r="D54" s="6">
        <v>0</v>
      </c>
      <c r="E54" s="6">
        <v>6</v>
      </c>
      <c r="F54" s="8">
        <v>2110.5</v>
      </c>
      <c r="G54" s="6">
        <v>369.22</v>
      </c>
      <c r="H54" s="15">
        <v>1</v>
      </c>
      <c r="I54" s="8">
        <f>VLOOKUP(B54,'SET-26'!B$2:H$174,2,FALSE)</f>
        <v>4</v>
      </c>
      <c r="J54" s="17">
        <f t="shared" si="2"/>
        <v>-2</v>
      </c>
      <c r="K54" s="7">
        <f t="shared" si="3"/>
        <v>-0.33333333333333331</v>
      </c>
      <c r="L54" s="7"/>
    </row>
    <row r="55" spans="1:12" x14ac:dyDescent="0.25">
      <c r="A55" s="6" t="s">
        <v>80</v>
      </c>
      <c r="B55" s="6" t="s">
        <v>81</v>
      </c>
      <c r="C55" s="6">
        <v>6</v>
      </c>
      <c r="D55" s="6">
        <v>0</v>
      </c>
      <c r="E55" s="6">
        <v>6</v>
      </c>
      <c r="F55" s="8">
        <v>1419</v>
      </c>
      <c r="G55" s="6">
        <v>216.55</v>
      </c>
      <c r="H55" s="15">
        <v>1</v>
      </c>
      <c r="I55" s="8">
        <v>0</v>
      </c>
      <c r="J55" s="17">
        <f t="shared" si="2"/>
        <v>-6</v>
      </c>
      <c r="K55" s="7">
        <f t="shared" si="3"/>
        <v>-1</v>
      </c>
      <c r="L55" s="7"/>
    </row>
    <row r="56" spans="1:12" x14ac:dyDescent="0.25">
      <c r="A56" s="6" t="s">
        <v>350</v>
      </c>
      <c r="B56" s="6" t="s">
        <v>351</v>
      </c>
      <c r="C56" s="6">
        <v>5</v>
      </c>
      <c r="D56" s="6">
        <v>4</v>
      </c>
      <c r="E56" s="6">
        <v>1</v>
      </c>
      <c r="F56" s="6">
        <v>103.5</v>
      </c>
      <c r="G56" s="6">
        <v>6.96</v>
      </c>
      <c r="H56" s="7">
        <v>0.2</v>
      </c>
      <c r="I56" s="8">
        <v>0</v>
      </c>
      <c r="J56" s="17">
        <f t="shared" si="2"/>
        <v>-5</v>
      </c>
      <c r="K56" s="7">
        <f t="shared" si="3"/>
        <v>-1</v>
      </c>
      <c r="L56" s="7"/>
    </row>
    <row r="57" spans="1:12" x14ac:dyDescent="0.25">
      <c r="A57" s="6" t="s">
        <v>114</v>
      </c>
      <c r="B57" s="6" t="s">
        <v>115</v>
      </c>
      <c r="C57" s="6">
        <v>5</v>
      </c>
      <c r="D57" s="6">
        <v>1</v>
      </c>
      <c r="E57" s="6">
        <v>4</v>
      </c>
      <c r="F57" s="6">
        <v>978</v>
      </c>
      <c r="G57" s="6">
        <v>173.26</v>
      </c>
      <c r="H57" s="7">
        <v>0.8</v>
      </c>
      <c r="I57" s="8">
        <v>0</v>
      </c>
      <c r="J57" s="17">
        <f t="shared" si="2"/>
        <v>-5</v>
      </c>
      <c r="K57" s="7">
        <f t="shared" si="3"/>
        <v>-1</v>
      </c>
      <c r="L57" s="7"/>
    </row>
    <row r="58" spans="1:12" x14ac:dyDescent="0.25">
      <c r="A58" s="6" t="s">
        <v>120</v>
      </c>
      <c r="B58" s="6" t="s">
        <v>121</v>
      </c>
      <c r="C58" s="6">
        <v>5</v>
      </c>
      <c r="D58" s="6">
        <v>1</v>
      </c>
      <c r="E58" s="6">
        <v>4</v>
      </c>
      <c r="F58" s="6">
        <v>476</v>
      </c>
      <c r="G58" s="6">
        <v>72.98</v>
      </c>
      <c r="H58" s="7">
        <v>0.8</v>
      </c>
      <c r="I58" s="8">
        <v>0</v>
      </c>
      <c r="J58" s="17">
        <f t="shared" si="2"/>
        <v>-5</v>
      </c>
      <c r="K58" s="7">
        <f t="shared" si="3"/>
        <v>-1</v>
      </c>
      <c r="L58" s="7"/>
    </row>
    <row r="59" spans="1:12" x14ac:dyDescent="0.25">
      <c r="A59" s="6" t="s">
        <v>98</v>
      </c>
      <c r="B59" s="6" t="s">
        <v>99</v>
      </c>
      <c r="C59" s="6">
        <v>5</v>
      </c>
      <c r="D59" s="6">
        <v>0</v>
      </c>
      <c r="E59" s="6">
        <v>5</v>
      </c>
      <c r="F59" s="6">
        <v>638.5</v>
      </c>
      <c r="G59" s="6">
        <v>66.53</v>
      </c>
      <c r="H59" s="15">
        <v>1</v>
      </c>
      <c r="I59" s="8">
        <v>0</v>
      </c>
      <c r="J59" s="17">
        <f t="shared" si="2"/>
        <v>-5</v>
      </c>
      <c r="K59" s="7">
        <f t="shared" si="3"/>
        <v>-1</v>
      </c>
      <c r="L59" s="7"/>
    </row>
    <row r="60" spans="1:12" x14ac:dyDescent="0.25">
      <c r="A60" s="6" t="s">
        <v>102</v>
      </c>
      <c r="B60" s="6" t="s">
        <v>103</v>
      </c>
      <c r="C60" s="6">
        <v>5</v>
      </c>
      <c r="D60" s="6">
        <v>1</v>
      </c>
      <c r="E60" s="6">
        <v>4</v>
      </c>
      <c r="F60" s="6">
        <v>964.5</v>
      </c>
      <c r="G60" s="6">
        <v>124.28</v>
      </c>
      <c r="H60" s="7">
        <v>0.8</v>
      </c>
      <c r="I60" s="8">
        <v>0</v>
      </c>
      <c r="J60" s="17">
        <f t="shared" si="2"/>
        <v>-5</v>
      </c>
      <c r="K60" s="7">
        <f t="shared" si="3"/>
        <v>-1</v>
      </c>
      <c r="L60" s="7"/>
    </row>
    <row r="61" spans="1:12" x14ac:dyDescent="0.25">
      <c r="A61" s="6" t="s">
        <v>96</v>
      </c>
      <c r="B61" s="6" t="s">
        <v>97</v>
      </c>
      <c r="C61" s="6">
        <v>5</v>
      </c>
      <c r="D61" s="6">
        <v>0</v>
      </c>
      <c r="E61" s="6">
        <v>5</v>
      </c>
      <c r="F61" s="8">
        <v>1494.5</v>
      </c>
      <c r="G61" s="6">
        <v>373.28</v>
      </c>
      <c r="H61" s="15">
        <v>1</v>
      </c>
      <c r="I61" s="8">
        <f>VLOOKUP(B61,'SET-26'!B$2:H$174,2,FALSE)</f>
        <v>3</v>
      </c>
      <c r="J61" s="17">
        <f t="shared" si="2"/>
        <v>-2</v>
      </c>
      <c r="K61" s="7">
        <f t="shared" si="3"/>
        <v>-0.4</v>
      </c>
      <c r="L61" s="7"/>
    </row>
    <row r="62" spans="1:12" x14ac:dyDescent="0.25">
      <c r="A62" s="6" t="s">
        <v>326</v>
      </c>
      <c r="B62" s="6" t="s">
        <v>327</v>
      </c>
      <c r="C62" s="6">
        <v>5</v>
      </c>
      <c r="D62" s="6">
        <v>4</v>
      </c>
      <c r="E62" s="6">
        <v>1</v>
      </c>
      <c r="F62" s="6">
        <v>293</v>
      </c>
      <c r="G62" s="6">
        <v>61.78</v>
      </c>
      <c r="H62" s="7">
        <v>0.2</v>
      </c>
      <c r="I62" s="8">
        <v>0</v>
      </c>
      <c r="J62" s="17">
        <f t="shared" si="2"/>
        <v>-5</v>
      </c>
      <c r="K62" s="7">
        <f t="shared" si="3"/>
        <v>-1</v>
      </c>
      <c r="L62" s="7"/>
    </row>
    <row r="63" spans="1:12" x14ac:dyDescent="0.25">
      <c r="A63" s="6" t="s">
        <v>108</v>
      </c>
      <c r="B63" s="6" t="s">
        <v>109</v>
      </c>
      <c r="C63" s="6">
        <v>4</v>
      </c>
      <c r="D63" s="6">
        <v>0</v>
      </c>
      <c r="E63" s="6">
        <v>4</v>
      </c>
      <c r="F63" s="6">
        <v>567</v>
      </c>
      <c r="G63" s="6">
        <v>80.48</v>
      </c>
      <c r="H63" s="15">
        <v>1</v>
      </c>
      <c r="I63" s="8">
        <v>0</v>
      </c>
      <c r="J63" s="17">
        <f t="shared" si="2"/>
        <v>-4</v>
      </c>
      <c r="K63" s="7">
        <f t="shared" si="3"/>
        <v>-1</v>
      </c>
      <c r="L63" s="7"/>
    </row>
    <row r="64" spans="1:12" x14ac:dyDescent="0.25">
      <c r="A64" s="6" t="s">
        <v>296</v>
      </c>
      <c r="B64" s="6" t="s">
        <v>297</v>
      </c>
      <c r="C64" s="6">
        <v>4</v>
      </c>
      <c r="D64" s="6">
        <v>3</v>
      </c>
      <c r="E64" s="6">
        <v>1</v>
      </c>
      <c r="F64" s="6">
        <v>378.5</v>
      </c>
      <c r="G64" s="6">
        <v>52.48</v>
      </c>
      <c r="H64" s="7">
        <v>0.25</v>
      </c>
      <c r="I64" s="8">
        <f>VLOOKUP(B64,'SET-26'!B$2:H$174,2,FALSE)</f>
        <v>2</v>
      </c>
      <c r="J64" s="17">
        <f t="shared" si="2"/>
        <v>-2</v>
      </c>
      <c r="K64" s="7">
        <f t="shared" si="3"/>
        <v>-0.5</v>
      </c>
      <c r="L64" s="7"/>
    </row>
    <row r="65" spans="1:12" x14ac:dyDescent="0.25">
      <c r="A65" s="6" t="s">
        <v>118</v>
      </c>
      <c r="B65" s="6" t="s">
        <v>119</v>
      </c>
      <c r="C65" s="6">
        <v>4</v>
      </c>
      <c r="D65" s="6">
        <v>0</v>
      </c>
      <c r="E65" s="6">
        <v>4</v>
      </c>
      <c r="F65" s="6">
        <v>620.5</v>
      </c>
      <c r="G65" s="6">
        <v>139.47</v>
      </c>
      <c r="H65" s="15">
        <v>1</v>
      </c>
      <c r="I65" s="8">
        <v>0</v>
      </c>
      <c r="J65" s="17">
        <f t="shared" si="2"/>
        <v>-4</v>
      </c>
      <c r="K65" s="7">
        <f t="shared" si="3"/>
        <v>-1</v>
      </c>
      <c r="L65" s="7"/>
    </row>
    <row r="66" spans="1:12" x14ac:dyDescent="0.25">
      <c r="A66" s="6" t="s">
        <v>148</v>
      </c>
      <c r="B66" s="6" t="s">
        <v>149</v>
      </c>
      <c r="C66" s="6">
        <v>4</v>
      </c>
      <c r="D66" s="6">
        <v>1</v>
      </c>
      <c r="E66" s="6">
        <v>3</v>
      </c>
      <c r="F66" s="6">
        <v>346.5</v>
      </c>
      <c r="G66" s="6">
        <v>18.98</v>
      </c>
      <c r="H66" s="7">
        <v>0.75</v>
      </c>
      <c r="I66" s="8">
        <f>VLOOKUP(B66,'SET-26'!B$2:H$174,2,FALSE)</f>
        <v>1</v>
      </c>
      <c r="J66" s="17">
        <f t="shared" ref="J66:J97" si="4">I66-C66</f>
        <v>-3</v>
      </c>
      <c r="K66" s="7">
        <f t="shared" ref="K66:K97" si="5">J66/C66</f>
        <v>-0.75</v>
      </c>
      <c r="L66" s="7"/>
    </row>
    <row r="67" spans="1:12" x14ac:dyDescent="0.25">
      <c r="A67" s="6" t="s">
        <v>194</v>
      </c>
      <c r="B67" s="6" t="s">
        <v>195</v>
      </c>
      <c r="C67" s="6">
        <v>4</v>
      </c>
      <c r="D67" s="6">
        <v>2</v>
      </c>
      <c r="E67" s="6">
        <v>2</v>
      </c>
      <c r="F67" s="6">
        <v>595.5</v>
      </c>
      <c r="G67" s="6">
        <v>106.84</v>
      </c>
      <c r="H67" s="7">
        <v>0.5</v>
      </c>
      <c r="I67" s="8">
        <f>VLOOKUP(B67,'SET-26'!B$2:H$174,2,FALSE)</f>
        <v>16</v>
      </c>
      <c r="J67" s="17">
        <f t="shared" si="4"/>
        <v>12</v>
      </c>
      <c r="K67" s="7">
        <f t="shared" si="5"/>
        <v>3</v>
      </c>
      <c r="L67" s="7"/>
    </row>
    <row r="68" spans="1:12" x14ac:dyDescent="0.25">
      <c r="A68" s="6" t="s">
        <v>306</v>
      </c>
      <c r="B68" s="6" t="s">
        <v>307</v>
      </c>
      <c r="C68" s="6">
        <v>4</v>
      </c>
      <c r="D68" s="6">
        <v>3</v>
      </c>
      <c r="E68" s="6">
        <v>1</v>
      </c>
      <c r="F68" s="6">
        <v>165</v>
      </c>
      <c r="G68" s="6">
        <v>27.09</v>
      </c>
      <c r="H68" s="7">
        <v>0.25</v>
      </c>
      <c r="I68" s="8">
        <v>0</v>
      </c>
      <c r="J68" s="17">
        <f t="shared" si="4"/>
        <v>-4</v>
      </c>
      <c r="K68" s="7">
        <f t="shared" si="5"/>
        <v>-1</v>
      </c>
      <c r="L68" s="7"/>
    </row>
    <row r="69" spans="1:12" x14ac:dyDescent="0.25">
      <c r="A69" s="6" t="s">
        <v>280</v>
      </c>
      <c r="B69" s="6" t="s">
        <v>281</v>
      </c>
      <c r="C69" s="6">
        <v>4</v>
      </c>
      <c r="D69" s="6">
        <v>3</v>
      </c>
      <c r="E69" s="6">
        <v>1</v>
      </c>
      <c r="F69" s="6">
        <v>56.5</v>
      </c>
      <c r="G69" s="6">
        <v>5.34</v>
      </c>
      <c r="H69" s="7">
        <v>0.25</v>
      </c>
      <c r="I69" s="8">
        <f>VLOOKUP(B69,'SET-26'!B$2:H$174,2,FALSE)</f>
        <v>5</v>
      </c>
      <c r="J69" s="17">
        <f t="shared" si="4"/>
        <v>1</v>
      </c>
      <c r="K69" s="7">
        <f t="shared" si="5"/>
        <v>0.25</v>
      </c>
      <c r="L69" s="7"/>
    </row>
    <row r="70" spans="1:12" x14ac:dyDescent="0.25">
      <c r="A70" s="6" t="s">
        <v>282</v>
      </c>
      <c r="B70" s="6" t="s">
        <v>283</v>
      </c>
      <c r="C70" s="6">
        <v>4</v>
      </c>
      <c r="D70" s="6">
        <v>3</v>
      </c>
      <c r="E70" s="6">
        <v>1</v>
      </c>
      <c r="F70" s="6">
        <v>373</v>
      </c>
      <c r="G70" s="6">
        <v>45.58</v>
      </c>
      <c r="H70" s="7">
        <v>0.25</v>
      </c>
      <c r="I70" s="8">
        <v>0</v>
      </c>
      <c r="J70" s="17">
        <f t="shared" si="4"/>
        <v>-4</v>
      </c>
      <c r="K70" s="7">
        <f t="shared" si="5"/>
        <v>-1</v>
      </c>
      <c r="L70" s="7"/>
    </row>
    <row r="71" spans="1:12" x14ac:dyDescent="0.25">
      <c r="A71" s="6" t="s">
        <v>100</v>
      </c>
      <c r="B71" s="6" t="s">
        <v>101</v>
      </c>
      <c r="C71" s="6">
        <v>4</v>
      </c>
      <c r="D71" s="6">
        <v>0</v>
      </c>
      <c r="E71" s="6">
        <v>4</v>
      </c>
      <c r="F71" s="8">
        <v>2749.5</v>
      </c>
      <c r="G71" s="6">
        <v>404.56</v>
      </c>
      <c r="H71" s="15">
        <v>1</v>
      </c>
      <c r="I71" s="8">
        <v>0</v>
      </c>
      <c r="J71" s="17">
        <f t="shared" si="4"/>
        <v>-4</v>
      </c>
      <c r="K71" s="7">
        <f t="shared" si="5"/>
        <v>-1</v>
      </c>
      <c r="L71" s="7"/>
    </row>
    <row r="72" spans="1:12" x14ac:dyDescent="0.25">
      <c r="A72" s="6" t="s">
        <v>272</v>
      </c>
      <c r="B72" s="6" t="s">
        <v>273</v>
      </c>
      <c r="C72" s="6">
        <v>4</v>
      </c>
      <c r="D72" s="6">
        <v>3</v>
      </c>
      <c r="E72" s="6">
        <v>1</v>
      </c>
      <c r="F72" s="6">
        <v>316</v>
      </c>
      <c r="G72" s="6">
        <v>49.49</v>
      </c>
      <c r="H72" s="7">
        <v>0.25</v>
      </c>
      <c r="I72" s="8">
        <v>0</v>
      </c>
      <c r="J72" s="17">
        <f t="shared" si="4"/>
        <v>-4</v>
      </c>
      <c r="K72" s="7">
        <f t="shared" si="5"/>
        <v>-1</v>
      </c>
      <c r="L72" s="7"/>
    </row>
    <row r="73" spans="1:12" x14ac:dyDescent="0.25">
      <c r="A73" s="6" t="s">
        <v>222</v>
      </c>
      <c r="B73" s="6" t="s">
        <v>223</v>
      </c>
      <c r="C73" s="6">
        <v>4</v>
      </c>
      <c r="D73" s="6">
        <v>3</v>
      </c>
      <c r="E73" s="6">
        <v>1</v>
      </c>
      <c r="F73" s="6">
        <v>140.4</v>
      </c>
      <c r="G73" s="6">
        <v>26.14</v>
      </c>
      <c r="H73" s="7">
        <v>0.25</v>
      </c>
      <c r="I73" s="8">
        <v>0</v>
      </c>
      <c r="J73" s="17">
        <f t="shared" si="4"/>
        <v>-4</v>
      </c>
      <c r="K73" s="7">
        <f t="shared" si="5"/>
        <v>-1</v>
      </c>
      <c r="L73" s="7"/>
    </row>
    <row r="74" spans="1:12" x14ac:dyDescent="0.25">
      <c r="A74" s="6" t="s">
        <v>124</v>
      </c>
      <c r="B74" s="6" t="s">
        <v>125</v>
      </c>
      <c r="C74" s="6">
        <v>4</v>
      </c>
      <c r="D74" s="6">
        <v>0</v>
      </c>
      <c r="E74" s="6">
        <v>4</v>
      </c>
      <c r="F74" s="6">
        <v>333.5</v>
      </c>
      <c r="G74" s="6">
        <v>27.19</v>
      </c>
      <c r="H74" s="15">
        <v>1</v>
      </c>
      <c r="I74" s="8">
        <f>VLOOKUP(B74,'SET-26'!B$2:H$174,2,FALSE)</f>
        <v>2</v>
      </c>
      <c r="J74" s="17">
        <f t="shared" si="4"/>
        <v>-2</v>
      </c>
      <c r="K74" s="7">
        <f t="shared" si="5"/>
        <v>-0.5</v>
      </c>
      <c r="L74" s="7"/>
    </row>
    <row r="75" spans="1:12" x14ac:dyDescent="0.25">
      <c r="A75" s="6" t="s">
        <v>174</v>
      </c>
      <c r="B75" s="6" t="s">
        <v>175</v>
      </c>
      <c r="C75" s="6">
        <v>4</v>
      </c>
      <c r="D75" s="6">
        <v>2</v>
      </c>
      <c r="E75" s="6">
        <v>2</v>
      </c>
      <c r="F75" s="6">
        <v>321</v>
      </c>
      <c r="G75" s="6">
        <v>58.71</v>
      </c>
      <c r="H75" s="7">
        <v>0.5</v>
      </c>
      <c r="I75" s="8">
        <v>0</v>
      </c>
      <c r="J75" s="17">
        <f t="shared" si="4"/>
        <v>-4</v>
      </c>
      <c r="K75" s="7">
        <f t="shared" si="5"/>
        <v>-1</v>
      </c>
      <c r="L75" s="7"/>
    </row>
    <row r="76" spans="1:12" x14ac:dyDescent="0.25">
      <c r="A76" s="6" t="s">
        <v>112</v>
      </c>
      <c r="B76" s="6" t="s">
        <v>113</v>
      </c>
      <c r="C76" s="6">
        <v>4</v>
      </c>
      <c r="D76" s="6">
        <v>0</v>
      </c>
      <c r="E76" s="6">
        <v>4</v>
      </c>
      <c r="F76" s="6">
        <v>488</v>
      </c>
      <c r="G76" s="6">
        <v>54.64</v>
      </c>
      <c r="H76" s="15">
        <v>1</v>
      </c>
      <c r="I76" s="8">
        <v>0</v>
      </c>
      <c r="J76" s="17">
        <f t="shared" si="4"/>
        <v>-4</v>
      </c>
      <c r="K76" s="7">
        <f t="shared" si="5"/>
        <v>-1</v>
      </c>
      <c r="L76" s="7"/>
    </row>
    <row r="77" spans="1:12" x14ac:dyDescent="0.25">
      <c r="A77" s="6" t="s">
        <v>132</v>
      </c>
      <c r="B77" s="6" t="s">
        <v>133</v>
      </c>
      <c r="C77" s="6">
        <v>4</v>
      </c>
      <c r="D77" s="6">
        <v>1</v>
      </c>
      <c r="E77" s="6">
        <v>3</v>
      </c>
      <c r="F77" s="6">
        <v>564</v>
      </c>
      <c r="G77" s="6">
        <v>85.79</v>
      </c>
      <c r="H77" s="7">
        <v>0.75</v>
      </c>
      <c r="I77" s="8">
        <v>0</v>
      </c>
      <c r="J77" s="17">
        <f t="shared" si="4"/>
        <v>-4</v>
      </c>
      <c r="K77" s="7">
        <f t="shared" si="5"/>
        <v>-1</v>
      </c>
      <c r="L77" s="7"/>
    </row>
    <row r="78" spans="1:12" x14ac:dyDescent="0.25">
      <c r="A78" s="6" t="s">
        <v>106</v>
      </c>
      <c r="B78" s="6" t="s">
        <v>107</v>
      </c>
      <c r="C78" s="6">
        <v>4</v>
      </c>
      <c r="D78" s="6">
        <v>0</v>
      </c>
      <c r="E78" s="6">
        <v>4</v>
      </c>
      <c r="F78" s="6">
        <v>507.5</v>
      </c>
      <c r="G78" s="6">
        <v>60.3</v>
      </c>
      <c r="H78" s="15">
        <v>1</v>
      </c>
      <c r="I78" s="8">
        <v>0</v>
      </c>
      <c r="J78" s="17">
        <f t="shared" si="4"/>
        <v>-4</v>
      </c>
      <c r="K78" s="7">
        <f t="shared" si="5"/>
        <v>-1</v>
      </c>
      <c r="L78" s="7"/>
    </row>
    <row r="79" spans="1:12" x14ac:dyDescent="0.25">
      <c r="A79" s="6" t="s">
        <v>208</v>
      </c>
      <c r="B79" s="6" t="s">
        <v>209</v>
      </c>
      <c r="C79" s="6">
        <v>4</v>
      </c>
      <c r="D79" s="6">
        <v>2</v>
      </c>
      <c r="E79" s="6">
        <v>2</v>
      </c>
      <c r="F79" s="6">
        <v>693.5</v>
      </c>
      <c r="G79" s="6">
        <v>108.45</v>
      </c>
      <c r="H79" s="7">
        <v>0.5</v>
      </c>
      <c r="I79" s="8">
        <f>VLOOKUP(B79,'SET-26'!B$2:H$174,2,FALSE)</f>
        <v>5</v>
      </c>
      <c r="J79" s="17">
        <f t="shared" si="4"/>
        <v>1</v>
      </c>
      <c r="K79" s="7">
        <f t="shared" si="5"/>
        <v>0.25</v>
      </c>
      <c r="L79" s="7"/>
    </row>
    <row r="80" spans="1:12" x14ac:dyDescent="0.25">
      <c r="A80" s="6" t="s">
        <v>122</v>
      </c>
      <c r="B80" s="6" t="s">
        <v>123</v>
      </c>
      <c r="C80" s="6">
        <v>4</v>
      </c>
      <c r="D80" s="6">
        <v>0</v>
      </c>
      <c r="E80" s="6">
        <v>4</v>
      </c>
      <c r="F80" s="6">
        <v>466.5</v>
      </c>
      <c r="G80" s="6">
        <v>51.49</v>
      </c>
      <c r="H80" s="15">
        <v>1</v>
      </c>
      <c r="I80" s="8">
        <f>VLOOKUP(B80,'SET-26'!B$2:H$174,2,FALSE)</f>
        <v>24</v>
      </c>
      <c r="J80" s="17">
        <f t="shared" si="4"/>
        <v>20</v>
      </c>
      <c r="K80" s="7">
        <f t="shared" si="5"/>
        <v>5</v>
      </c>
      <c r="L80" s="7"/>
    </row>
    <row r="81" spans="1:12" x14ac:dyDescent="0.25">
      <c r="A81" s="6" t="s">
        <v>336</v>
      </c>
      <c r="B81" s="6" t="s">
        <v>337</v>
      </c>
      <c r="C81" s="6">
        <v>4</v>
      </c>
      <c r="D81" s="6">
        <v>3</v>
      </c>
      <c r="E81" s="6">
        <v>1</v>
      </c>
      <c r="F81" s="6">
        <v>145.5</v>
      </c>
      <c r="G81" s="6">
        <v>20.53</v>
      </c>
      <c r="H81" s="7">
        <v>0.25</v>
      </c>
      <c r="I81" s="8">
        <v>0</v>
      </c>
      <c r="J81" s="17">
        <f t="shared" si="4"/>
        <v>-4</v>
      </c>
      <c r="K81" s="7">
        <f t="shared" si="5"/>
        <v>-1</v>
      </c>
      <c r="L81" s="7"/>
    </row>
    <row r="82" spans="1:12" x14ac:dyDescent="0.25">
      <c r="A82" s="6" t="s">
        <v>116</v>
      </c>
      <c r="B82" s="6" t="s">
        <v>117</v>
      </c>
      <c r="C82" s="6">
        <v>4</v>
      </c>
      <c r="D82" s="6">
        <v>0</v>
      </c>
      <c r="E82" s="6">
        <v>4</v>
      </c>
      <c r="F82" s="6">
        <v>784.5</v>
      </c>
      <c r="G82" s="6">
        <v>92.37</v>
      </c>
      <c r="H82" s="15">
        <v>1</v>
      </c>
      <c r="I82" s="8">
        <v>0</v>
      </c>
      <c r="J82" s="17">
        <f t="shared" si="4"/>
        <v>-4</v>
      </c>
      <c r="K82" s="7">
        <f t="shared" si="5"/>
        <v>-1</v>
      </c>
      <c r="L82" s="7"/>
    </row>
    <row r="83" spans="1:12" x14ac:dyDescent="0.25">
      <c r="A83" s="6" t="s">
        <v>104</v>
      </c>
      <c r="B83" s="6" t="s">
        <v>105</v>
      </c>
      <c r="C83" s="6">
        <v>4</v>
      </c>
      <c r="D83" s="6">
        <v>0</v>
      </c>
      <c r="E83" s="6">
        <v>4</v>
      </c>
      <c r="F83" s="8">
        <v>2412.5</v>
      </c>
      <c r="G83" s="6">
        <v>502.24</v>
      </c>
      <c r="H83" s="15">
        <v>1</v>
      </c>
      <c r="I83" s="8">
        <v>0</v>
      </c>
      <c r="J83" s="17">
        <f t="shared" si="4"/>
        <v>-4</v>
      </c>
      <c r="K83" s="7">
        <f t="shared" si="5"/>
        <v>-1</v>
      </c>
      <c r="L83" s="7"/>
    </row>
    <row r="84" spans="1:12" x14ac:dyDescent="0.25">
      <c r="A84" s="6" t="s">
        <v>126</v>
      </c>
      <c r="B84" s="6" t="s">
        <v>127</v>
      </c>
      <c r="C84" s="6">
        <v>3</v>
      </c>
      <c r="D84" s="6">
        <v>0</v>
      </c>
      <c r="E84" s="6">
        <v>3</v>
      </c>
      <c r="F84" s="8">
        <v>1081.5</v>
      </c>
      <c r="G84" s="6">
        <v>169.93</v>
      </c>
      <c r="H84" s="15">
        <v>1</v>
      </c>
      <c r="I84" s="8">
        <v>0</v>
      </c>
      <c r="J84" s="17">
        <f t="shared" si="4"/>
        <v>-3</v>
      </c>
      <c r="K84" s="7">
        <f t="shared" si="5"/>
        <v>-1</v>
      </c>
      <c r="L84" s="7"/>
    </row>
    <row r="85" spans="1:12" x14ac:dyDescent="0.25">
      <c r="A85" s="6" t="s">
        <v>146</v>
      </c>
      <c r="B85" s="6" t="s">
        <v>147</v>
      </c>
      <c r="C85" s="6">
        <v>3</v>
      </c>
      <c r="D85" s="6">
        <v>0</v>
      </c>
      <c r="E85" s="6">
        <v>3</v>
      </c>
      <c r="F85" s="8">
        <v>1427</v>
      </c>
      <c r="G85" s="6">
        <v>280.39</v>
      </c>
      <c r="H85" s="15">
        <v>1</v>
      </c>
      <c r="I85" s="8">
        <v>0</v>
      </c>
      <c r="J85" s="17">
        <f t="shared" si="4"/>
        <v>-3</v>
      </c>
      <c r="K85" s="7">
        <f t="shared" si="5"/>
        <v>-1</v>
      </c>
      <c r="L85" s="7"/>
    </row>
    <row r="86" spans="1:12" x14ac:dyDescent="0.25">
      <c r="A86" s="6" t="s">
        <v>186</v>
      </c>
      <c r="B86" s="6" t="s">
        <v>187</v>
      </c>
      <c r="C86" s="6">
        <v>3</v>
      </c>
      <c r="D86" s="6">
        <v>1</v>
      </c>
      <c r="E86" s="6">
        <v>2</v>
      </c>
      <c r="F86" s="6">
        <v>310</v>
      </c>
      <c r="G86" s="6">
        <v>28.82</v>
      </c>
      <c r="H86" s="7">
        <v>0.66669999999999996</v>
      </c>
      <c r="I86" s="8">
        <v>0</v>
      </c>
      <c r="J86" s="17">
        <f t="shared" si="4"/>
        <v>-3</v>
      </c>
      <c r="K86" s="7">
        <f t="shared" si="5"/>
        <v>-1</v>
      </c>
      <c r="L86" s="7"/>
    </row>
    <row r="87" spans="1:12" x14ac:dyDescent="0.25">
      <c r="A87" s="6" t="s">
        <v>128</v>
      </c>
      <c r="B87" s="6" t="s">
        <v>129</v>
      </c>
      <c r="C87" s="6">
        <v>3</v>
      </c>
      <c r="D87" s="6">
        <v>0</v>
      </c>
      <c r="E87" s="6">
        <v>3</v>
      </c>
      <c r="F87" s="6">
        <v>446</v>
      </c>
      <c r="G87" s="6">
        <v>54.48</v>
      </c>
      <c r="H87" s="15">
        <v>1</v>
      </c>
      <c r="I87" s="8">
        <v>0</v>
      </c>
      <c r="J87" s="17">
        <f t="shared" si="4"/>
        <v>-3</v>
      </c>
      <c r="K87" s="7">
        <f t="shared" si="5"/>
        <v>-1</v>
      </c>
      <c r="L87" s="7"/>
    </row>
    <row r="88" spans="1:12" x14ac:dyDescent="0.25">
      <c r="A88" s="6" t="s">
        <v>348</v>
      </c>
      <c r="B88" s="6" t="s">
        <v>349</v>
      </c>
      <c r="C88" s="6">
        <v>3</v>
      </c>
      <c r="D88" s="6">
        <v>2</v>
      </c>
      <c r="E88" s="6">
        <v>1</v>
      </c>
      <c r="F88" s="6">
        <v>74</v>
      </c>
      <c r="G88" s="6">
        <v>6.76</v>
      </c>
      <c r="H88" s="7">
        <v>0.33329999999999999</v>
      </c>
      <c r="I88" s="8">
        <v>0</v>
      </c>
      <c r="J88" s="17">
        <f t="shared" si="4"/>
        <v>-3</v>
      </c>
      <c r="K88" s="7">
        <f t="shared" si="5"/>
        <v>-1</v>
      </c>
      <c r="L88" s="7"/>
    </row>
    <row r="89" spans="1:12" x14ac:dyDescent="0.25">
      <c r="A89" s="6" t="s">
        <v>142</v>
      </c>
      <c r="B89" s="6" t="s">
        <v>143</v>
      </c>
      <c r="C89" s="6">
        <v>3</v>
      </c>
      <c r="D89" s="6">
        <v>0</v>
      </c>
      <c r="E89" s="6">
        <v>3</v>
      </c>
      <c r="F89" s="6">
        <v>275</v>
      </c>
      <c r="G89" s="6">
        <v>23.62</v>
      </c>
      <c r="H89" s="15">
        <v>1</v>
      </c>
      <c r="I89" s="8">
        <v>0</v>
      </c>
      <c r="J89" s="17">
        <f t="shared" si="4"/>
        <v>-3</v>
      </c>
      <c r="K89" s="7">
        <f t="shared" si="5"/>
        <v>-1</v>
      </c>
      <c r="L89" s="7"/>
    </row>
    <row r="90" spans="1:12" x14ac:dyDescent="0.25">
      <c r="A90" s="6" t="s">
        <v>140</v>
      </c>
      <c r="B90" s="6" t="s">
        <v>141</v>
      </c>
      <c r="C90" s="6">
        <v>3</v>
      </c>
      <c r="D90" s="6">
        <v>0</v>
      </c>
      <c r="E90" s="6">
        <v>3</v>
      </c>
      <c r="F90" s="8">
        <v>2226.5</v>
      </c>
      <c r="G90" s="6">
        <v>589.58000000000004</v>
      </c>
      <c r="H90" s="15">
        <v>1</v>
      </c>
      <c r="I90" s="8">
        <f>VLOOKUP(B90,'SET-26'!B$2:H$174,2,FALSE)</f>
        <v>2</v>
      </c>
      <c r="J90" s="17">
        <f t="shared" si="4"/>
        <v>-1</v>
      </c>
      <c r="K90" s="7">
        <f t="shared" si="5"/>
        <v>-0.33333333333333331</v>
      </c>
      <c r="L90" s="7"/>
    </row>
    <row r="91" spans="1:12" x14ac:dyDescent="0.25">
      <c r="A91" s="6" t="s">
        <v>134</v>
      </c>
      <c r="B91" s="6" t="s">
        <v>135</v>
      </c>
      <c r="C91" s="6">
        <v>3</v>
      </c>
      <c r="D91" s="6">
        <v>0</v>
      </c>
      <c r="E91" s="6">
        <v>3</v>
      </c>
      <c r="F91" s="6">
        <v>479</v>
      </c>
      <c r="G91" s="6">
        <v>64.900000000000006</v>
      </c>
      <c r="H91" s="15">
        <v>1</v>
      </c>
      <c r="I91" s="8">
        <v>0</v>
      </c>
      <c r="J91" s="17">
        <f t="shared" si="4"/>
        <v>-3</v>
      </c>
      <c r="K91" s="7">
        <f t="shared" si="5"/>
        <v>-1</v>
      </c>
      <c r="L91" s="7"/>
    </row>
    <row r="92" spans="1:12" x14ac:dyDescent="0.25">
      <c r="A92" s="6" t="s">
        <v>136</v>
      </c>
      <c r="B92" s="6" t="s">
        <v>137</v>
      </c>
      <c r="C92" s="6">
        <v>3</v>
      </c>
      <c r="D92" s="6">
        <v>0</v>
      </c>
      <c r="E92" s="6">
        <v>3</v>
      </c>
      <c r="F92" s="6">
        <v>299.10000000000002</v>
      </c>
      <c r="G92" s="6">
        <v>25.05</v>
      </c>
      <c r="H92" s="15">
        <v>1</v>
      </c>
      <c r="I92" s="8">
        <v>0</v>
      </c>
      <c r="J92" s="17">
        <f t="shared" si="4"/>
        <v>-3</v>
      </c>
      <c r="K92" s="7">
        <f t="shared" si="5"/>
        <v>-1</v>
      </c>
      <c r="L92" s="7"/>
    </row>
    <row r="93" spans="1:12" x14ac:dyDescent="0.25">
      <c r="A93" s="6" t="s">
        <v>152</v>
      </c>
      <c r="B93" s="6" t="s">
        <v>153</v>
      </c>
      <c r="C93" s="6">
        <v>3</v>
      </c>
      <c r="D93" s="6">
        <v>0</v>
      </c>
      <c r="E93" s="6">
        <v>3</v>
      </c>
      <c r="F93" s="6">
        <v>507.5</v>
      </c>
      <c r="G93" s="6">
        <v>77.45</v>
      </c>
      <c r="H93" s="15">
        <v>1</v>
      </c>
      <c r="I93" s="8">
        <v>0</v>
      </c>
      <c r="J93" s="17">
        <f t="shared" si="4"/>
        <v>-3</v>
      </c>
      <c r="K93" s="7">
        <f t="shared" si="5"/>
        <v>-1</v>
      </c>
      <c r="L93" s="7"/>
    </row>
    <row r="94" spans="1:12" x14ac:dyDescent="0.25">
      <c r="A94" s="6" t="s">
        <v>150</v>
      </c>
      <c r="B94" s="6" t="s">
        <v>151</v>
      </c>
      <c r="C94" s="6">
        <v>3</v>
      </c>
      <c r="D94" s="6">
        <v>0</v>
      </c>
      <c r="E94" s="6">
        <v>3</v>
      </c>
      <c r="F94" s="6">
        <v>376.5</v>
      </c>
      <c r="G94" s="6">
        <v>41.57</v>
      </c>
      <c r="H94" s="15">
        <v>1</v>
      </c>
      <c r="I94" s="8">
        <v>0</v>
      </c>
      <c r="J94" s="17">
        <f t="shared" si="4"/>
        <v>-3</v>
      </c>
      <c r="K94" s="7">
        <f t="shared" si="5"/>
        <v>-1</v>
      </c>
      <c r="L94" s="7"/>
    </row>
    <row r="95" spans="1:12" x14ac:dyDescent="0.25">
      <c r="A95" s="6" t="s">
        <v>176</v>
      </c>
      <c r="B95" s="6" t="s">
        <v>177</v>
      </c>
      <c r="C95" s="6">
        <v>3</v>
      </c>
      <c r="D95" s="6">
        <v>1</v>
      </c>
      <c r="E95" s="6">
        <v>2</v>
      </c>
      <c r="F95" s="8">
        <v>1029</v>
      </c>
      <c r="G95" s="6">
        <v>288.44</v>
      </c>
      <c r="H95" s="7">
        <v>0.66669999999999996</v>
      </c>
      <c r="I95" s="8">
        <f>VLOOKUP(B95,'SET-26'!B$2:H$174,2,FALSE)</f>
        <v>6</v>
      </c>
      <c r="J95" s="17">
        <f t="shared" si="4"/>
        <v>3</v>
      </c>
      <c r="K95" s="7">
        <f t="shared" si="5"/>
        <v>1</v>
      </c>
      <c r="L95" s="7"/>
    </row>
    <row r="96" spans="1:12" x14ac:dyDescent="0.25">
      <c r="A96" s="6" t="s">
        <v>130</v>
      </c>
      <c r="B96" s="6" t="s">
        <v>131</v>
      </c>
      <c r="C96" s="6">
        <v>3</v>
      </c>
      <c r="D96" s="6">
        <v>0</v>
      </c>
      <c r="E96" s="6">
        <v>3</v>
      </c>
      <c r="F96" s="6">
        <v>495.5</v>
      </c>
      <c r="G96" s="6">
        <v>65.540000000000006</v>
      </c>
      <c r="H96" s="15">
        <v>1</v>
      </c>
      <c r="I96" s="8">
        <v>0</v>
      </c>
      <c r="J96" s="17">
        <f t="shared" si="4"/>
        <v>-3</v>
      </c>
      <c r="K96" s="7">
        <f t="shared" si="5"/>
        <v>-1</v>
      </c>
      <c r="L96" s="7"/>
    </row>
    <row r="97" spans="1:12" x14ac:dyDescent="0.25">
      <c r="A97" s="6" t="s">
        <v>204</v>
      </c>
      <c r="B97" s="6" t="s">
        <v>205</v>
      </c>
      <c r="C97" s="6">
        <v>3</v>
      </c>
      <c r="D97" s="6">
        <v>1</v>
      </c>
      <c r="E97" s="6">
        <v>2</v>
      </c>
      <c r="F97" s="6">
        <v>914</v>
      </c>
      <c r="G97" s="6">
        <v>135.16999999999999</v>
      </c>
      <c r="H97" s="7">
        <v>0.66669999999999996</v>
      </c>
      <c r="I97" s="8">
        <f>VLOOKUP(B97,'SET-26'!B$2:H$174,2,FALSE)</f>
        <v>1</v>
      </c>
      <c r="J97" s="17">
        <f t="shared" si="4"/>
        <v>-2</v>
      </c>
      <c r="K97" s="7">
        <f t="shared" si="5"/>
        <v>-0.66666666666666663</v>
      </c>
      <c r="L97" s="7"/>
    </row>
    <row r="98" spans="1:12" x14ac:dyDescent="0.25">
      <c r="A98" s="6" t="s">
        <v>154</v>
      </c>
      <c r="B98" s="6" t="s">
        <v>155</v>
      </c>
      <c r="C98" s="6">
        <v>3</v>
      </c>
      <c r="D98" s="6">
        <v>0</v>
      </c>
      <c r="E98" s="6">
        <v>3</v>
      </c>
      <c r="F98" s="6">
        <v>827</v>
      </c>
      <c r="G98" s="6">
        <v>205.28</v>
      </c>
      <c r="H98" s="15">
        <v>1</v>
      </c>
      <c r="I98" s="8">
        <v>0</v>
      </c>
      <c r="J98" s="17">
        <f t="shared" ref="J98:J129" si="6">I98-C98</f>
        <v>-3</v>
      </c>
      <c r="K98" s="7">
        <f t="shared" ref="K98:K129" si="7">J98/C98</f>
        <v>-1</v>
      </c>
      <c r="L98" s="7"/>
    </row>
    <row r="99" spans="1:12" x14ac:dyDescent="0.25">
      <c r="A99" s="6" t="s">
        <v>278</v>
      </c>
      <c r="B99" s="6" t="s">
        <v>279</v>
      </c>
      <c r="C99" s="6">
        <v>3</v>
      </c>
      <c r="D99" s="6">
        <v>2</v>
      </c>
      <c r="E99" s="6">
        <v>1</v>
      </c>
      <c r="F99" s="6">
        <v>453.5</v>
      </c>
      <c r="G99" s="6">
        <v>77.86</v>
      </c>
      <c r="H99" s="7">
        <v>0.33329999999999999</v>
      </c>
      <c r="I99" s="8">
        <v>0</v>
      </c>
      <c r="J99" s="17">
        <f t="shared" si="6"/>
        <v>-3</v>
      </c>
      <c r="K99" s="7">
        <f t="shared" si="7"/>
        <v>-1</v>
      </c>
      <c r="L99" s="7"/>
    </row>
    <row r="100" spans="1:12" x14ac:dyDescent="0.25">
      <c r="A100" s="6" t="s">
        <v>144</v>
      </c>
      <c r="B100" s="6" t="s">
        <v>145</v>
      </c>
      <c r="C100" s="6">
        <v>3</v>
      </c>
      <c r="D100" s="6">
        <v>0</v>
      </c>
      <c r="E100" s="6">
        <v>3</v>
      </c>
      <c r="F100" s="6">
        <v>319.5</v>
      </c>
      <c r="G100" s="6">
        <v>35.4</v>
      </c>
      <c r="H100" s="15">
        <v>1</v>
      </c>
      <c r="I100" s="8">
        <v>0</v>
      </c>
      <c r="J100" s="17">
        <f t="shared" si="6"/>
        <v>-3</v>
      </c>
      <c r="K100" s="7">
        <f t="shared" si="7"/>
        <v>-1</v>
      </c>
      <c r="L100" s="7"/>
    </row>
    <row r="101" spans="1:12" x14ac:dyDescent="0.25">
      <c r="A101" s="6" t="s">
        <v>202</v>
      </c>
      <c r="B101" s="6" t="s">
        <v>203</v>
      </c>
      <c r="C101" s="6">
        <v>2</v>
      </c>
      <c r="D101" s="6">
        <v>0</v>
      </c>
      <c r="E101" s="6">
        <v>2</v>
      </c>
      <c r="F101" s="6">
        <v>176</v>
      </c>
      <c r="G101" s="6">
        <v>20.69</v>
      </c>
      <c r="H101" s="15">
        <v>1</v>
      </c>
      <c r="I101" s="8">
        <v>0</v>
      </c>
      <c r="J101" s="17">
        <f t="shared" si="6"/>
        <v>-2</v>
      </c>
      <c r="K101" s="7">
        <f t="shared" si="7"/>
        <v>-1</v>
      </c>
      <c r="L101" s="7"/>
    </row>
    <row r="102" spans="1:12" x14ac:dyDescent="0.25">
      <c r="A102" s="6" t="s">
        <v>190</v>
      </c>
      <c r="B102" s="6" t="s">
        <v>191</v>
      </c>
      <c r="C102" s="6">
        <v>2</v>
      </c>
      <c r="D102" s="6">
        <v>0</v>
      </c>
      <c r="E102" s="6">
        <v>2</v>
      </c>
      <c r="F102" s="6">
        <v>155.5</v>
      </c>
      <c r="G102" s="6">
        <v>7.57</v>
      </c>
      <c r="H102" s="15">
        <v>1</v>
      </c>
      <c r="I102" s="8">
        <f>VLOOKUP(B102,'SET-26'!B$2:H$174,2,FALSE)</f>
        <v>1</v>
      </c>
      <c r="J102" s="17">
        <f t="shared" si="6"/>
        <v>-1</v>
      </c>
      <c r="K102" s="7">
        <f t="shared" si="7"/>
        <v>-0.5</v>
      </c>
      <c r="L102" s="7"/>
    </row>
    <row r="103" spans="1:12" x14ac:dyDescent="0.25">
      <c r="A103" s="6" t="s">
        <v>160</v>
      </c>
      <c r="B103" s="6" t="s">
        <v>161</v>
      </c>
      <c r="C103" s="6">
        <v>2</v>
      </c>
      <c r="D103" s="6">
        <v>0</v>
      </c>
      <c r="E103" s="6">
        <v>2</v>
      </c>
      <c r="F103" s="6">
        <v>865</v>
      </c>
      <c r="G103" s="6">
        <v>168.26</v>
      </c>
      <c r="H103" s="15">
        <v>1</v>
      </c>
      <c r="I103" s="8">
        <v>0</v>
      </c>
      <c r="J103" s="17">
        <f t="shared" si="6"/>
        <v>-2</v>
      </c>
      <c r="K103" s="7">
        <f t="shared" si="7"/>
        <v>-1</v>
      </c>
      <c r="L103" s="7"/>
    </row>
    <row r="104" spans="1:12" x14ac:dyDescent="0.25">
      <c r="A104" s="6" t="s">
        <v>236</v>
      </c>
      <c r="B104" s="6" t="s">
        <v>237</v>
      </c>
      <c r="C104" s="6">
        <v>2</v>
      </c>
      <c r="D104" s="6">
        <v>1</v>
      </c>
      <c r="E104" s="6">
        <v>1</v>
      </c>
      <c r="F104" s="6">
        <v>215</v>
      </c>
      <c r="G104" s="6">
        <v>24.81</v>
      </c>
      <c r="H104" s="7">
        <v>0.5</v>
      </c>
      <c r="I104" s="8">
        <v>0</v>
      </c>
      <c r="J104" s="17">
        <f t="shared" si="6"/>
        <v>-2</v>
      </c>
      <c r="K104" s="7">
        <f t="shared" si="7"/>
        <v>-1</v>
      </c>
      <c r="L104" s="7"/>
    </row>
    <row r="105" spans="1:12" x14ac:dyDescent="0.25">
      <c r="A105" s="6" t="s">
        <v>234</v>
      </c>
      <c r="B105" s="6" t="s">
        <v>235</v>
      </c>
      <c r="C105" s="6">
        <v>2</v>
      </c>
      <c r="D105" s="6">
        <v>1</v>
      </c>
      <c r="E105" s="6">
        <v>1</v>
      </c>
      <c r="F105" s="6">
        <v>107</v>
      </c>
      <c r="G105" s="6">
        <v>5.15</v>
      </c>
      <c r="H105" s="7">
        <v>0.5</v>
      </c>
      <c r="I105" s="8">
        <v>0</v>
      </c>
      <c r="J105" s="17">
        <f t="shared" si="6"/>
        <v>-2</v>
      </c>
      <c r="K105" s="7">
        <f t="shared" si="7"/>
        <v>-1</v>
      </c>
      <c r="L105" s="7"/>
    </row>
    <row r="106" spans="1:12" x14ac:dyDescent="0.25">
      <c r="A106" s="6" t="s">
        <v>168</v>
      </c>
      <c r="B106" s="6" t="s">
        <v>169</v>
      </c>
      <c r="C106" s="6">
        <v>2</v>
      </c>
      <c r="D106" s="6">
        <v>0</v>
      </c>
      <c r="E106" s="6">
        <v>2</v>
      </c>
      <c r="F106" s="6">
        <v>240.5</v>
      </c>
      <c r="G106" s="6">
        <v>24.43</v>
      </c>
      <c r="H106" s="15">
        <v>1</v>
      </c>
      <c r="I106" s="8">
        <v>0</v>
      </c>
      <c r="J106" s="17">
        <f t="shared" si="6"/>
        <v>-2</v>
      </c>
      <c r="K106" s="7">
        <f t="shared" si="7"/>
        <v>-1</v>
      </c>
      <c r="L106" s="7"/>
    </row>
    <row r="107" spans="1:12" x14ac:dyDescent="0.25">
      <c r="A107" s="6" t="s">
        <v>330</v>
      </c>
      <c r="B107" s="6" t="s">
        <v>331</v>
      </c>
      <c r="C107" s="6">
        <v>2</v>
      </c>
      <c r="D107" s="6">
        <v>1</v>
      </c>
      <c r="E107" s="6">
        <v>1</v>
      </c>
      <c r="F107" s="6">
        <v>472</v>
      </c>
      <c r="G107" s="6">
        <v>120.05</v>
      </c>
      <c r="H107" s="7">
        <v>0.5</v>
      </c>
      <c r="I107" s="8">
        <f>VLOOKUP(B107,'SET-26'!B$2:H$174,2,FALSE)</f>
        <v>1</v>
      </c>
      <c r="J107" s="17">
        <f t="shared" si="6"/>
        <v>-1</v>
      </c>
      <c r="K107" s="7">
        <f t="shared" si="7"/>
        <v>-0.5</v>
      </c>
      <c r="L107" s="7"/>
    </row>
    <row r="108" spans="1:12" x14ac:dyDescent="0.25">
      <c r="A108" s="6" t="s">
        <v>220</v>
      </c>
      <c r="B108" s="6" t="s">
        <v>221</v>
      </c>
      <c r="C108" s="6">
        <v>2</v>
      </c>
      <c r="D108" s="6">
        <v>1</v>
      </c>
      <c r="E108" s="6">
        <v>1</v>
      </c>
      <c r="F108" s="6">
        <v>190</v>
      </c>
      <c r="G108" s="6">
        <v>33.67</v>
      </c>
      <c r="H108" s="7">
        <v>0.5</v>
      </c>
      <c r="I108" s="8">
        <v>0</v>
      </c>
      <c r="J108" s="17">
        <f t="shared" si="6"/>
        <v>-2</v>
      </c>
      <c r="K108" s="7">
        <f t="shared" si="7"/>
        <v>-1</v>
      </c>
      <c r="L108" s="7"/>
    </row>
    <row r="109" spans="1:12" x14ac:dyDescent="0.25">
      <c r="A109" s="6" t="s">
        <v>156</v>
      </c>
      <c r="B109" s="6" t="s">
        <v>157</v>
      </c>
      <c r="C109" s="6">
        <v>2</v>
      </c>
      <c r="D109" s="6">
        <v>0</v>
      </c>
      <c r="E109" s="6">
        <v>2</v>
      </c>
      <c r="F109" s="6">
        <v>420.5</v>
      </c>
      <c r="G109" s="6">
        <v>63.18</v>
      </c>
      <c r="H109" s="15">
        <v>1</v>
      </c>
      <c r="I109" s="8">
        <v>0</v>
      </c>
      <c r="J109" s="17">
        <f t="shared" si="6"/>
        <v>-2</v>
      </c>
      <c r="K109" s="7">
        <f t="shared" si="7"/>
        <v>-1</v>
      </c>
      <c r="L109" s="7"/>
    </row>
    <row r="110" spans="1:12" x14ac:dyDescent="0.25">
      <c r="A110" s="6" t="s">
        <v>210</v>
      </c>
      <c r="B110" s="6" t="s">
        <v>211</v>
      </c>
      <c r="C110" s="6">
        <v>2</v>
      </c>
      <c r="D110" s="6">
        <v>0</v>
      </c>
      <c r="E110" s="6">
        <v>2</v>
      </c>
      <c r="F110" s="6">
        <v>395</v>
      </c>
      <c r="G110" s="6">
        <v>64.06</v>
      </c>
      <c r="H110" s="15">
        <v>1</v>
      </c>
      <c r="I110" s="8">
        <v>0</v>
      </c>
      <c r="J110" s="17">
        <f t="shared" si="6"/>
        <v>-2</v>
      </c>
      <c r="K110" s="7">
        <f t="shared" si="7"/>
        <v>-1</v>
      </c>
      <c r="L110" s="7"/>
    </row>
    <row r="111" spans="1:12" x14ac:dyDescent="0.25">
      <c r="A111" s="6" t="s">
        <v>170</v>
      </c>
      <c r="B111" s="6" t="s">
        <v>171</v>
      </c>
      <c r="C111" s="6">
        <v>2</v>
      </c>
      <c r="D111" s="6">
        <v>0</v>
      </c>
      <c r="E111" s="6">
        <v>2</v>
      </c>
      <c r="F111" s="6">
        <v>432.5</v>
      </c>
      <c r="G111" s="6">
        <v>67.540000000000006</v>
      </c>
      <c r="H111" s="15">
        <v>1</v>
      </c>
      <c r="I111" s="8">
        <v>0</v>
      </c>
      <c r="J111" s="17">
        <f t="shared" si="6"/>
        <v>-2</v>
      </c>
      <c r="K111" s="7">
        <f t="shared" si="7"/>
        <v>-1</v>
      </c>
      <c r="L111" s="7"/>
    </row>
    <row r="112" spans="1:12" x14ac:dyDescent="0.25">
      <c r="A112" s="6" t="s">
        <v>178</v>
      </c>
      <c r="B112" s="6" t="s">
        <v>179</v>
      </c>
      <c r="C112" s="6">
        <v>2</v>
      </c>
      <c r="D112" s="6">
        <v>0</v>
      </c>
      <c r="E112" s="6">
        <v>2</v>
      </c>
      <c r="F112" s="6">
        <v>704</v>
      </c>
      <c r="G112" s="6">
        <v>98.47</v>
      </c>
      <c r="H112" s="15">
        <v>1</v>
      </c>
      <c r="I112" s="8">
        <v>0</v>
      </c>
      <c r="J112" s="17">
        <f t="shared" si="6"/>
        <v>-2</v>
      </c>
      <c r="K112" s="7">
        <f t="shared" si="7"/>
        <v>-1</v>
      </c>
      <c r="L112" s="7"/>
    </row>
    <row r="113" spans="1:12" x14ac:dyDescent="0.25">
      <c r="A113" s="6" t="s">
        <v>340</v>
      </c>
      <c r="B113" s="6" t="s">
        <v>341</v>
      </c>
      <c r="C113" s="6">
        <v>2</v>
      </c>
      <c r="D113" s="6">
        <v>1</v>
      </c>
      <c r="E113" s="6">
        <v>1</v>
      </c>
      <c r="F113" s="6">
        <v>50</v>
      </c>
      <c r="G113" s="6">
        <v>11.74</v>
      </c>
      <c r="H113" s="7">
        <v>0.5</v>
      </c>
      <c r="I113" s="8">
        <v>0</v>
      </c>
      <c r="J113" s="17">
        <f t="shared" si="6"/>
        <v>-2</v>
      </c>
      <c r="K113" s="7">
        <f t="shared" si="7"/>
        <v>-1</v>
      </c>
      <c r="L113" s="7"/>
    </row>
    <row r="114" spans="1:12" x14ac:dyDescent="0.25">
      <c r="A114" s="6" t="s">
        <v>200</v>
      </c>
      <c r="B114" s="6" t="s">
        <v>201</v>
      </c>
      <c r="C114" s="6">
        <v>2</v>
      </c>
      <c r="D114" s="6">
        <v>0</v>
      </c>
      <c r="E114" s="6">
        <v>2</v>
      </c>
      <c r="F114" s="6">
        <v>381</v>
      </c>
      <c r="G114" s="6">
        <v>89.76</v>
      </c>
      <c r="H114" s="15">
        <v>1</v>
      </c>
      <c r="I114" s="8">
        <v>0</v>
      </c>
      <c r="J114" s="17">
        <f t="shared" si="6"/>
        <v>-2</v>
      </c>
      <c r="K114" s="7">
        <f t="shared" si="7"/>
        <v>-1</v>
      </c>
      <c r="L114" s="7"/>
    </row>
    <row r="115" spans="1:12" x14ac:dyDescent="0.25">
      <c r="A115" s="6" t="s">
        <v>184</v>
      </c>
      <c r="B115" s="6" t="s">
        <v>185</v>
      </c>
      <c r="C115" s="6">
        <v>2</v>
      </c>
      <c r="D115" s="6">
        <v>0</v>
      </c>
      <c r="E115" s="6">
        <v>2</v>
      </c>
      <c r="F115" s="6">
        <v>478.5</v>
      </c>
      <c r="G115" s="6">
        <v>85.58</v>
      </c>
      <c r="H115" s="15">
        <v>1</v>
      </c>
      <c r="I115" s="8">
        <v>0</v>
      </c>
      <c r="J115" s="17">
        <f t="shared" si="6"/>
        <v>-2</v>
      </c>
      <c r="K115" s="7">
        <f t="shared" si="7"/>
        <v>-1</v>
      </c>
      <c r="L115" s="7"/>
    </row>
    <row r="116" spans="1:12" x14ac:dyDescent="0.25">
      <c r="A116" s="6" t="s">
        <v>206</v>
      </c>
      <c r="B116" s="6" t="s">
        <v>207</v>
      </c>
      <c r="C116" s="6">
        <v>2</v>
      </c>
      <c r="D116" s="6">
        <v>0</v>
      </c>
      <c r="E116" s="6">
        <v>2</v>
      </c>
      <c r="F116" s="6">
        <v>731.5</v>
      </c>
      <c r="G116" s="6">
        <v>146.01</v>
      </c>
      <c r="H116" s="15">
        <v>1</v>
      </c>
      <c r="I116" s="8">
        <f>VLOOKUP(B116,'SET-26'!B$2:H$174,2,FALSE)</f>
        <v>3</v>
      </c>
      <c r="J116" s="17">
        <f t="shared" si="6"/>
        <v>1</v>
      </c>
      <c r="K116" s="7">
        <f t="shared" si="7"/>
        <v>0.5</v>
      </c>
      <c r="L116" s="7"/>
    </row>
    <row r="117" spans="1:12" x14ac:dyDescent="0.25">
      <c r="A117" s="6" t="s">
        <v>248</v>
      </c>
      <c r="B117" s="6" t="s">
        <v>249</v>
      </c>
      <c r="C117" s="6">
        <v>2</v>
      </c>
      <c r="D117" s="6">
        <v>1</v>
      </c>
      <c r="E117" s="6">
        <v>1</v>
      </c>
      <c r="F117" s="6">
        <v>64.5</v>
      </c>
      <c r="G117" s="6">
        <v>4.2699999999999996</v>
      </c>
      <c r="H117" s="7">
        <v>0.5</v>
      </c>
      <c r="I117" s="8">
        <f>VLOOKUP(B117,'SET-26'!B$2:H$174,2,FALSE)</f>
        <v>7</v>
      </c>
      <c r="J117" s="17">
        <f t="shared" si="6"/>
        <v>5</v>
      </c>
      <c r="K117" s="7">
        <f t="shared" si="7"/>
        <v>2.5</v>
      </c>
      <c r="L117" s="7"/>
    </row>
    <row r="118" spans="1:12" x14ac:dyDescent="0.25">
      <c r="A118" s="6" t="s">
        <v>164</v>
      </c>
      <c r="B118" s="6" t="s">
        <v>165</v>
      </c>
      <c r="C118" s="6">
        <v>2</v>
      </c>
      <c r="D118" s="6">
        <v>0</v>
      </c>
      <c r="E118" s="6">
        <v>2</v>
      </c>
      <c r="F118" s="6">
        <v>395</v>
      </c>
      <c r="G118" s="6">
        <v>75.260000000000005</v>
      </c>
      <c r="H118" s="15">
        <v>1</v>
      </c>
      <c r="I118" s="8">
        <v>0</v>
      </c>
      <c r="J118" s="17">
        <f t="shared" si="6"/>
        <v>-2</v>
      </c>
      <c r="K118" s="7">
        <f t="shared" si="7"/>
        <v>-1</v>
      </c>
      <c r="L118" s="7"/>
    </row>
    <row r="119" spans="1:12" x14ac:dyDescent="0.25">
      <c r="A119" s="6" t="s">
        <v>338</v>
      </c>
      <c r="B119" s="6" t="s">
        <v>339</v>
      </c>
      <c r="C119" s="6">
        <v>2</v>
      </c>
      <c r="D119" s="6">
        <v>1</v>
      </c>
      <c r="E119" s="6">
        <v>1</v>
      </c>
      <c r="F119" s="6">
        <v>69.5</v>
      </c>
      <c r="G119" s="6">
        <v>4.78</v>
      </c>
      <c r="H119" s="7">
        <v>0.5</v>
      </c>
      <c r="I119" s="8">
        <v>0</v>
      </c>
      <c r="J119" s="17">
        <f t="shared" si="6"/>
        <v>-2</v>
      </c>
      <c r="K119" s="7">
        <f t="shared" si="7"/>
        <v>-1</v>
      </c>
      <c r="L119" s="7"/>
    </row>
    <row r="120" spans="1:12" x14ac:dyDescent="0.25">
      <c r="A120" s="6" t="s">
        <v>304</v>
      </c>
      <c r="B120" s="6" t="s">
        <v>305</v>
      </c>
      <c r="C120" s="6">
        <v>2</v>
      </c>
      <c r="D120" s="6">
        <v>1</v>
      </c>
      <c r="E120" s="6">
        <v>1</v>
      </c>
      <c r="F120" s="6">
        <v>255.5</v>
      </c>
      <c r="G120" s="6">
        <v>39.200000000000003</v>
      </c>
      <c r="H120" s="7">
        <v>0.5</v>
      </c>
      <c r="I120" s="8">
        <v>0</v>
      </c>
      <c r="J120" s="17">
        <f t="shared" si="6"/>
        <v>-2</v>
      </c>
      <c r="K120" s="7">
        <f t="shared" si="7"/>
        <v>-1</v>
      </c>
      <c r="L120" s="7"/>
    </row>
    <row r="121" spans="1:12" x14ac:dyDescent="0.25">
      <c r="A121" s="6" t="s">
        <v>188</v>
      </c>
      <c r="B121" s="6" t="s">
        <v>189</v>
      </c>
      <c r="C121" s="6">
        <v>2</v>
      </c>
      <c r="D121" s="6">
        <v>0</v>
      </c>
      <c r="E121" s="6">
        <v>2</v>
      </c>
      <c r="F121" s="6">
        <v>267</v>
      </c>
      <c r="G121" s="6">
        <v>38.89</v>
      </c>
      <c r="H121" s="15">
        <v>1</v>
      </c>
      <c r="I121" s="8">
        <v>0</v>
      </c>
      <c r="J121" s="17">
        <f t="shared" si="6"/>
        <v>-2</v>
      </c>
      <c r="K121" s="7">
        <f t="shared" si="7"/>
        <v>-1</v>
      </c>
      <c r="L121" s="7"/>
    </row>
    <row r="122" spans="1:12" x14ac:dyDescent="0.25">
      <c r="A122" s="6" t="s">
        <v>354</v>
      </c>
      <c r="B122" s="6" t="s">
        <v>355</v>
      </c>
      <c r="C122" s="6">
        <v>2</v>
      </c>
      <c r="D122" s="6">
        <v>1</v>
      </c>
      <c r="E122" s="6">
        <v>1</v>
      </c>
      <c r="F122" s="6">
        <v>92.5</v>
      </c>
      <c r="G122" s="6">
        <v>5.38</v>
      </c>
      <c r="H122" s="7">
        <v>0.5</v>
      </c>
      <c r="I122" s="8">
        <v>0</v>
      </c>
      <c r="J122" s="17">
        <f t="shared" si="6"/>
        <v>-2</v>
      </c>
      <c r="K122" s="7">
        <f t="shared" si="7"/>
        <v>-1</v>
      </c>
      <c r="L122" s="7"/>
    </row>
    <row r="123" spans="1:12" x14ac:dyDescent="0.25">
      <c r="A123" s="6" t="s">
        <v>332</v>
      </c>
      <c r="B123" s="6" t="s">
        <v>333</v>
      </c>
      <c r="C123" s="6">
        <v>2</v>
      </c>
      <c r="D123" s="6">
        <v>1</v>
      </c>
      <c r="E123" s="6">
        <v>1</v>
      </c>
      <c r="F123" s="6">
        <v>80.5</v>
      </c>
      <c r="G123" s="6">
        <v>4.8099999999999996</v>
      </c>
      <c r="H123" s="7">
        <v>0.5</v>
      </c>
      <c r="I123" s="8">
        <v>0</v>
      </c>
      <c r="J123" s="17">
        <f t="shared" si="6"/>
        <v>-2</v>
      </c>
      <c r="K123" s="7">
        <f t="shared" si="7"/>
        <v>-1</v>
      </c>
      <c r="L123" s="7"/>
    </row>
    <row r="124" spans="1:12" x14ac:dyDescent="0.25">
      <c r="A124" s="6" t="s">
        <v>192</v>
      </c>
      <c r="B124" s="6" t="s">
        <v>193</v>
      </c>
      <c r="C124" s="6">
        <v>2</v>
      </c>
      <c r="D124" s="6">
        <v>0</v>
      </c>
      <c r="E124" s="6">
        <v>2</v>
      </c>
      <c r="F124" s="6">
        <v>695.5</v>
      </c>
      <c r="G124" s="6">
        <v>170.36</v>
      </c>
      <c r="H124" s="15">
        <v>1</v>
      </c>
      <c r="I124" s="8">
        <v>0</v>
      </c>
      <c r="J124" s="17">
        <f t="shared" si="6"/>
        <v>-2</v>
      </c>
      <c r="K124" s="7">
        <f t="shared" si="7"/>
        <v>-1</v>
      </c>
      <c r="L124" s="7"/>
    </row>
    <row r="125" spans="1:12" x14ac:dyDescent="0.25">
      <c r="A125" s="6" t="s">
        <v>276</v>
      </c>
      <c r="B125" s="6" t="s">
        <v>277</v>
      </c>
      <c r="C125" s="6">
        <v>2</v>
      </c>
      <c r="D125" s="6">
        <v>1</v>
      </c>
      <c r="E125" s="6">
        <v>1</v>
      </c>
      <c r="F125" s="6">
        <v>220.5</v>
      </c>
      <c r="G125" s="6">
        <v>42.86</v>
      </c>
      <c r="H125" s="7">
        <v>0.5</v>
      </c>
      <c r="I125" s="8">
        <f>VLOOKUP(B125,'SET-26'!B$2:H$174,2,FALSE)</f>
        <v>9</v>
      </c>
      <c r="J125" s="17">
        <f t="shared" si="6"/>
        <v>7</v>
      </c>
      <c r="K125" s="7">
        <f t="shared" si="7"/>
        <v>3.5</v>
      </c>
      <c r="L125" s="7"/>
    </row>
    <row r="126" spans="1:12" x14ac:dyDescent="0.25">
      <c r="A126" s="6" t="s">
        <v>196</v>
      </c>
      <c r="B126" s="6" t="s">
        <v>197</v>
      </c>
      <c r="C126" s="6">
        <v>2</v>
      </c>
      <c r="D126" s="6">
        <v>0</v>
      </c>
      <c r="E126" s="6">
        <v>2</v>
      </c>
      <c r="F126" s="6">
        <v>136</v>
      </c>
      <c r="G126" s="6">
        <v>8.17</v>
      </c>
      <c r="H126" s="15">
        <v>1</v>
      </c>
      <c r="I126" s="8">
        <v>0</v>
      </c>
      <c r="J126" s="17">
        <f t="shared" si="6"/>
        <v>-2</v>
      </c>
      <c r="K126" s="7">
        <f t="shared" si="7"/>
        <v>-1</v>
      </c>
      <c r="L126" s="7"/>
    </row>
    <row r="127" spans="1:12" x14ac:dyDescent="0.25">
      <c r="A127" s="6" t="s">
        <v>182</v>
      </c>
      <c r="B127" s="6" t="s">
        <v>183</v>
      </c>
      <c r="C127" s="6">
        <v>2</v>
      </c>
      <c r="D127" s="6">
        <v>0</v>
      </c>
      <c r="E127" s="6">
        <v>2</v>
      </c>
      <c r="F127" s="6">
        <v>166.5</v>
      </c>
      <c r="G127" s="6">
        <v>19</v>
      </c>
      <c r="H127" s="15">
        <v>1</v>
      </c>
      <c r="I127" s="8">
        <v>0</v>
      </c>
      <c r="J127" s="17">
        <f t="shared" si="6"/>
        <v>-2</v>
      </c>
      <c r="K127" s="7">
        <f t="shared" si="7"/>
        <v>-1</v>
      </c>
      <c r="L127" s="7"/>
    </row>
    <row r="128" spans="1:12" x14ac:dyDescent="0.25">
      <c r="A128" s="6" t="s">
        <v>212</v>
      </c>
      <c r="B128" s="6" t="s">
        <v>213</v>
      </c>
      <c r="C128" s="6">
        <v>2</v>
      </c>
      <c r="D128" s="6">
        <v>0</v>
      </c>
      <c r="E128" s="6">
        <v>2</v>
      </c>
      <c r="F128" s="6">
        <v>212.5</v>
      </c>
      <c r="G128" s="6">
        <v>16.829999999999998</v>
      </c>
      <c r="H128" s="15">
        <v>1</v>
      </c>
      <c r="I128" s="8">
        <v>0</v>
      </c>
      <c r="J128" s="17">
        <f t="shared" si="6"/>
        <v>-2</v>
      </c>
      <c r="K128" s="7">
        <f t="shared" si="7"/>
        <v>-1</v>
      </c>
      <c r="L128" s="7"/>
    </row>
    <row r="129" spans="1:12" x14ac:dyDescent="0.25">
      <c r="A129" s="6" t="s">
        <v>308</v>
      </c>
      <c r="B129" s="6" t="s">
        <v>309</v>
      </c>
      <c r="C129" s="6">
        <v>2</v>
      </c>
      <c r="D129" s="6">
        <v>1</v>
      </c>
      <c r="E129" s="6">
        <v>1</v>
      </c>
      <c r="F129" s="6">
        <v>160.5</v>
      </c>
      <c r="G129" s="6">
        <v>21.17</v>
      </c>
      <c r="H129" s="7">
        <v>0.5</v>
      </c>
      <c r="I129" s="8">
        <f>VLOOKUP(B129,'SET-26'!B$2:H$174,2,FALSE)</f>
        <v>8</v>
      </c>
      <c r="J129" s="17">
        <f t="shared" si="6"/>
        <v>6</v>
      </c>
      <c r="K129" s="7">
        <f t="shared" si="7"/>
        <v>3</v>
      </c>
      <c r="L129" s="7"/>
    </row>
    <row r="130" spans="1:12" x14ac:dyDescent="0.25">
      <c r="A130" s="6" t="s">
        <v>158</v>
      </c>
      <c r="B130" s="6" t="s">
        <v>159</v>
      </c>
      <c r="C130" s="6">
        <v>2</v>
      </c>
      <c r="D130" s="6">
        <v>0</v>
      </c>
      <c r="E130" s="6">
        <v>2</v>
      </c>
      <c r="F130" s="6">
        <v>237</v>
      </c>
      <c r="G130" s="6">
        <v>30.28</v>
      </c>
      <c r="H130" s="15">
        <v>1</v>
      </c>
      <c r="I130" s="8">
        <v>0</v>
      </c>
      <c r="J130" s="17">
        <f t="shared" ref="J130:J161" si="8">I130-C130</f>
        <v>-2</v>
      </c>
      <c r="K130" s="7">
        <f t="shared" ref="K130:K161" si="9">J130/C130</f>
        <v>-1</v>
      </c>
      <c r="L130" s="7"/>
    </row>
    <row r="131" spans="1:12" x14ac:dyDescent="0.25">
      <c r="A131" s="6" t="s">
        <v>172</v>
      </c>
      <c r="B131" s="6" t="s">
        <v>173</v>
      </c>
      <c r="C131" s="6">
        <v>2</v>
      </c>
      <c r="D131" s="6">
        <v>0</v>
      </c>
      <c r="E131" s="6">
        <v>2</v>
      </c>
      <c r="F131" s="6">
        <v>804.5</v>
      </c>
      <c r="G131" s="6">
        <v>127.03</v>
      </c>
      <c r="H131" s="15">
        <v>1</v>
      </c>
      <c r="I131" s="8">
        <v>0</v>
      </c>
      <c r="J131" s="17">
        <f t="shared" si="8"/>
        <v>-2</v>
      </c>
      <c r="K131" s="7">
        <f t="shared" si="9"/>
        <v>-1</v>
      </c>
      <c r="L131" s="7"/>
    </row>
    <row r="132" spans="1:12" x14ac:dyDescent="0.25">
      <c r="A132" s="6" t="s">
        <v>162</v>
      </c>
      <c r="B132" s="6" t="s">
        <v>163</v>
      </c>
      <c r="C132" s="6">
        <v>2</v>
      </c>
      <c r="D132" s="6">
        <v>0</v>
      </c>
      <c r="E132" s="6">
        <v>2</v>
      </c>
      <c r="F132" s="6">
        <v>265.5</v>
      </c>
      <c r="G132" s="6">
        <v>27.45</v>
      </c>
      <c r="H132" s="15">
        <v>1</v>
      </c>
      <c r="I132" s="8">
        <v>0</v>
      </c>
      <c r="J132" s="17">
        <f t="shared" si="8"/>
        <v>-2</v>
      </c>
      <c r="K132" s="7">
        <f t="shared" si="9"/>
        <v>-1</v>
      </c>
      <c r="L132" s="7"/>
    </row>
    <row r="133" spans="1:12" x14ac:dyDescent="0.25">
      <c r="A133" s="6" t="s">
        <v>180</v>
      </c>
      <c r="B133" s="6" t="s">
        <v>181</v>
      </c>
      <c r="C133" s="6">
        <v>2</v>
      </c>
      <c r="D133" s="6">
        <v>0</v>
      </c>
      <c r="E133" s="6">
        <v>2</v>
      </c>
      <c r="F133" s="6">
        <v>427.5</v>
      </c>
      <c r="G133" s="6">
        <v>80.92</v>
      </c>
      <c r="H133" s="15">
        <v>1</v>
      </c>
      <c r="I133" s="8">
        <v>0</v>
      </c>
      <c r="J133" s="17">
        <f t="shared" si="8"/>
        <v>-2</v>
      </c>
      <c r="K133" s="7">
        <f t="shared" si="9"/>
        <v>-1</v>
      </c>
      <c r="L133" s="7"/>
    </row>
    <row r="134" spans="1:12" x14ac:dyDescent="0.25">
      <c r="A134" s="6" t="s">
        <v>238</v>
      </c>
      <c r="B134" s="6" t="s">
        <v>239</v>
      </c>
      <c r="C134" s="6">
        <v>1</v>
      </c>
      <c r="D134" s="6">
        <v>0</v>
      </c>
      <c r="E134" s="6">
        <v>1</v>
      </c>
      <c r="F134" s="6">
        <v>221</v>
      </c>
      <c r="G134" s="6">
        <v>25.22</v>
      </c>
      <c r="H134" s="15">
        <v>1</v>
      </c>
      <c r="I134" s="8">
        <v>0</v>
      </c>
      <c r="J134" s="17">
        <f t="shared" si="8"/>
        <v>-1</v>
      </c>
      <c r="K134" s="7">
        <f t="shared" si="9"/>
        <v>-1</v>
      </c>
      <c r="L134" s="7"/>
    </row>
    <row r="135" spans="1:12" x14ac:dyDescent="0.25">
      <c r="A135" s="6" t="s">
        <v>244</v>
      </c>
      <c r="B135" s="6" t="s">
        <v>245</v>
      </c>
      <c r="C135" s="6">
        <v>1</v>
      </c>
      <c r="D135" s="6">
        <v>0</v>
      </c>
      <c r="E135" s="6">
        <v>1</v>
      </c>
      <c r="F135" s="6">
        <v>88</v>
      </c>
      <c r="G135" s="6">
        <v>4.74</v>
      </c>
      <c r="H135" s="15">
        <v>1</v>
      </c>
      <c r="I135" s="8">
        <v>0</v>
      </c>
      <c r="J135" s="17">
        <f t="shared" si="8"/>
        <v>-1</v>
      </c>
      <c r="K135" s="7">
        <f t="shared" si="9"/>
        <v>-1</v>
      </c>
      <c r="L135" s="7"/>
    </row>
    <row r="136" spans="1:12" x14ac:dyDescent="0.25">
      <c r="A136" s="6" t="s">
        <v>232</v>
      </c>
      <c r="B136" s="6" t="s">
        <v>233</v>
      </c>
      <c r="C136" s="6">
        <v>1</v>
      </c>
      <c r="D136" s="6">
        <v>0</v>
      </c>
      <c r="E136" s="6">
        <v>1</v>
      </c>
      <c r="F136" s="6">
        <v>91</v>
      </c>
      <c r="G136" s="6">
        <v>9.93</v>
      </c>
      <c r="H136" s="15">
        <v>1</v>
      </c>
      <c r="I136" s="8">
        <f>VLOOKUP(B136,'SET-26'!B$2:H$174,2,FALSE)</f>
        <v>3</v>
      </c>
      <c r="J136" s="17">
        <f t="shared" si="8"/>
        <v>2</v>
      </c>
      <c r="K136" s="7">
        <f t="shared" si="9"/>
        <v>2</v>
      </c>
      <c r="L136" s="7"/>
    </row>
    <row r="137" spans="1:12" x14ac:dyDescent="0.25">
      <c r="A137" s="6" t="s">
        <v>322</v>
      </c>
      <c r="B137" s="6" t="s">
        <v>323</v>
      </c>
      <c r="C137" s="6">
        <v>1</v>
      </c>
      <c r="D137" s="6">
        <v>0</v>
      </c>
      <c r="E137" s="6">
        <v>1</v>
      </c>
      <c r="F137" s="6">
        <v>363</v>
      </c>
      <c r="G137" s="6">
        <v>64.47</v>
      </c>
      <c r="H137" s="15">
        <v>1</v>
      </c>
      <c r="I137" s="8">
        <v>0</v>
      </c>
      <c r="J137" s="17">
        <f t="shared" si="8"/>
        <v>-1</v>
      </c>
      <c r="K137" s="7">
        <f t="shared" si="9"/>
        <v>-1</v>
      </c>
      <c r="L137" s="7"/>
    </row>
    <row r="138" spans="1:12" x14ac:dyDescent="0.25">
      <c r="A138" s="6" t="s">
        <v>242</v>
      </c>
      <c r="B138" s="6" t="s">
        <v>243</v>
      </c>
      <c r="C138" s="6">
        <v>1</v>
      </c>
      <c r="D138" s="6">
        <v>0</v>
      </c>
      <c r="E138" s="6">
        <v>1</v>
      </c>
      <c r="F138" s="6">
        <v>173</v>
      </c>
      <c r="G138" s="6">
        <v>20.61</v>
      </c>
      <c r="H138" s="15">
        <v>1</v>
      </c>
      <c r="I138" s="8">
        <v>0</v>
      </c>
      <c r="J138" s="17">
        <f t="shared" si="8"/>
        <v>-1</v>
      </c>
      <c r="K138" s="7">
        <f t="shared" si="9"/>
        <v>-1</v>
      </c>
      <c r="L138" s="7"/>
    </row>
    <row r="139" spans="1:12" x14ac:dyDescent="0.25">
      <c r="A139" s="6" t="s">
        <v>264</v>
      </c>
      <c r="B139" s="6" t="s">
        <v>265</v>
      </c>
      <c r="C139" s="6">
        <v>1</v>
      </c>
      <c r="D139" s="6">
        <v>0</v>
      </c>
      <c r="E139" s="6">
        <v>1</v>
      </c>
      <c r="F139" s="6">
        <v>85.5</v>
      </c>
      <c r="G139" s="6">
        <v>4.76</v>
      </c>
      <c r="H139" s="15">
        <v>1</v>
      </c>
      <c r="I139" s="8">
        <v>0</v>
      </c>
      <c r="J139" s="17">
        <f t="shared" si="8"/>
        <v>-1</v>
      </c>
      <c r="K139" s="7">
        <f t="shared" si="9"/>
        <v>-1</v>
      </c>
      <c r="L139" s="7"/>
    </row>
    <row r="140" spans="1:12" x14ac:dyDescent="0.25">
      <c r="A140" s="6" t="s">
        <v>290</v>
      </c>
      <c r="B140" s="6" t="s">
        <v>291</v>
      </c>
      <c r="C140" s="6">
        <v>1</v>
      </c>
      <c r="D140" s="6">
        <v>0</v>
      </c>
      <c r="E140" s="6">
        <v>1</v>
      </c>
      <c r="F140" s="6">
        <v>62</v>
      </c>
      <c r="G140" s="6">
        <v>3.61</v>
      </c>
      <c r="H140" s="15">
        <v>1</v>
      </c>
      <c r="I140" s="8">
        <f>VLOOKUP(B140,'SET-26'!B$2:H$174,2,FALSE)</f>
        <v>2</v>
      </c>
      <c r="J140" s="17">
        <f t="shared" si="8"/>
        <v>1</v>
      </c>
      <c r="K140" s="7">
        <f t="shared" si="9"/>
        <v>1</v>
      </c>
      <c r="L140" s="7"/>
    </row>
    <row r="141" spans="1:12" x14ac:dyDescent="0.25">
      <c r="A141" s="6" t="s">
        <v>254</v>
      </c>
      <c r="B141" s="6" t="s">
        <v>255</v>
      </c>
      <c r="C141" s="6">
        <v>1</v>
      </c>
      <c r="D141" s="6">
        <v>0</v>
      </c>
      <c r="E141" s="6">
        <v>1</v>
      </c>
      <c r="F141" s="6">
        <v>73.5</v>
      </c>
      <c r="G141" s="6">
        <v>7.63</v>
      </c>
      <c r="H141" s="15">
        <v>1</v>
      </c>
      <c r="I141" s="8">
        <v>0</v>
      </c>
      <c r="J141" s="17">
        <f t="shared" si="8"/>
        <v>-1</v>
      </c>
      <c r="K141" s="7">
        <f t="shared" si="9"/>
        <v>-1</v>
      </c>
      <c r="L141" s="7"/>
    </row>
    <row r="142" spans="1:12" x14ac:dyDescent="0.25">
      <c r="A142" s="6" t="s">
        <v>252</v>
      </c>
      <c r="B142" s="6" t="s">
        <v>253</v>
      </c>
      <c r="C142" s="6">
        <v>1</v>
      </c>
      <c r="D142" s="6">
        <v>0</v>
      </c>
      <c r="E142" s="6">
        <v>1</v>
      </c>
      <c r="F142" s="6">
        <v>196.5</v>
      </c>
      <c r="G142" s="6">
        <v>33.82</v>
      </c>
      <c r="H142" s="15">
        <v>1</v>
      </c>
      <c r="I142" s="8">
        <v>0</v>
      </c>
      <c r="J142" s="17">
        <f t="shared" si="8"/>
        <v>-1</v>
      </c>
      <c r="K142" s="7">
        <f t="shared" si="9"/>
        <v>-1</v>
      </c>
      <c r="L142" s="7"/>
    </row>
    <row r="143" spans="1:12" x14ac:dyDescent="0.25">
      <c r="A143" s="6" t="s">
        <v>258</v>
      </c>
      <c r="B143" s="6" t="s">
        <v>259</v>
      </c>
      <c r="C143" s="6">
        <v>1</v>
      </c>
      <c r="D143" s="6">
        <v>0</v>
      </c>
      <c r="E143" s="6">
        <v>1</v>
      </c>
      <c r="F143" s="6">
        <v>100.5</v>
      </c>
      <c r="G143" s="6">
        <v>11.18</v>
      </c>
      <c r="H143" s="15">
        <v>1</v>
      </c>
      <c r="I143" s="8">
        <v>0</v>
      </c>
      <c r="J143" s="17">
        <f t="shared" si="8"/>
        <v>-1</v>
      </c>
      <c r="K143" s="7">
        <f t="shared" si="9"/>
        <v>-1</v>
      </c>
      <c r="L143" s="7"/>
    </row>
    <row r="144" spans="1:12" x14ac:dyDescent="0.25">
      <c r="A144" s="6" t="s">
        <v>218</v>
      </c>
      <c r="B144" s="6" t="s">
        <v>219</v>
      </c>
      <c r="C144" s="6">
        <v>1</v>
      </c>
      <c r="D144" s="6">
        <v>0</v>
      </c>
      <c r="E144" s="6">
        <v>1</v>
      </c>
      <c r="F144" s="6">
        <v>540</v>
      </c>
      <c r="G144" s="6">
        <v>97.4</v>
      </c>
      <c r="H144" s="15">
        <v>1</v>
      </c>
      <c r="I144" s="8">
        <v>0</v>
      </c>
      <c r="J144" s="17">
        <f t="shared" si="8"/>
        <v>-1</v>
      </c>
      <c r="K144" s="7">
        <f t="shared" si="9"/>
        <v>-1</v>
      </c>
      <c r="L144" s="7"/>
    </row>
    <row r="145" spans="1:12" x14ac:dyDescent="0.25">
      <c r="A145" s="6" t="s">
        <v>228</v>
      </c>
      <c r="B145" s="6" t="s">
        <v>229</v>
      </c>
      <c r="C145" s="6">
        <v>1</v>
      </c>
      <c r="D145" s="6">
        <v>0</v>
      </c>
      <c r="E145" s="6">
        <v>1</v>
      </c>
      <c r="F145" s="6">
        <v>160.5</v>
      </c>
      <c r="G145" s="6">
        <v>19.39</v>
      </c>
      <c r="H145" s="15">
        <v>1</v>
      </c>
      <c r="I145" s="8">
        <v>0</v>
      </c>
      <c r="J145" s="17">
        <f t="shared" si="8"/>
        <v>-1</v>
      </c>
      <c r="K145" s="7">
        <f t="shared" si="9"/>
        <v>-1</v>
      </c>
      <c r="L145" s="7"/>
    </row>
    <row r="146" spans="1:12" x14ac:dyDescent="0.25">
      <c r="A146" s="6" t="s">
        <v>300</v>
      </c>
      <c r="B146" s="6" t="s">
        <v>301</v>
      </c>
      <c r="C146" s="6">
        <v>1</v>
      </c>
      <c r="D146" s="6">
        <v>0</v>
      </c>
      <c r="E146" s="6">
        <v>1</v>
      </c>
      <c r="F146" s="6">
        <v>345</v>
      </c>
      <c r="G146" s="6">
        <v>64.25</v>
      </c>
      <c r="H146" s="15">
        <v>1</v>
      </c>
      <c r="I146" s="8">
        <v>0</v>
      </c>
      <c r="J146" s="17">
        <f t="shared" si="8"/>
        <v>-1</v>
      </c>
      <c r="K146" s="7">
        <f t="shared" si="9"/>
        <v>-1</v>
      </c>
      <c r="L146" s="7"/>
    </row>
    <row r="147" spans="1:12" x14ac:dyDescent="0.25">
      <c r="A147" s="6" t="s">
        <v>334</v>
      </c>
      <c r="B147" s="6" t="s">
        <v>335</v>
      </c>
      <c r="C147" s="6">
        <v>1</v>
      </c>
      <c r="D147" s="6">
        <v>0</v>
      </c>
      <c r="E147" s="6">
        <v>1</v>
      </c>
      <c r="F147" s="6">
        <v>121</v>
      </c>
      <c r="G147" s="6">
        <v>12.61</v>
      </c>
      <c r="H147" s="15">
        <v>1</v>
      </c>
      <c r="I147" s="8">
        <v>0</v>
      </c>
      <c r="J147" s="17">
        <f t="shared" si="8"/>
        <v>-1</v>
      </c>
      <c r="K147" s="7">
        <f t="shared" si="9"/>
        <v>-1</v>
      </c>
      <c r="L147" s="7"/>
    </row>
    <row r="148" spans="1:12" x14ac:dyDescent="0.25">
      <c r="A148" s="6" t="s">
        <v>268</v>
      </c>
      <c r="B148" s="6" t="s">
        <v>269</v>
      </c>
      <c r="C148" s="6">
        <v>1</v>
      </c>
      <c r="D148" s="6">
        <v>0</v>
      </c>
      <c r="E148" s="6">
        <v>1</v>
      </c>
      <c r="F148" s="6">
        <v>184.5</v>
      </c>
      <c r="G148" s="6">
        <v>25.71</v>
      </c>
      <c r="H148" s="15">
        <v>1</v>
      </c>
      <c r="I148" s="8">
        <v>0</v>
      </c>
      <c r="J148" s="17">
        <f t="shared" si="8"/>
        <v>-1</v>
      </c>
      <c r="K148" s="7">
        <f t="shared" si="9"/>
        <v>-1</v>
      </c>
      <c r="L148" s="7"/>
    </row>
    <row r="149" spans="1:12" x14ac:dyDescent="0.25">
      <c r="A149" s="6" t="s">
        <v>320</v>
      </c>
      <c r="B149" s="6" t="s">
        <v>321</v>
      </c>
      <c r="C149" s="6">
        <v>1</v>
      </c>
      <c r="D149" s="6">
        <v>0</v>
      </c>
      <c r="E149" s="6">
        <v>1</v>
      </c>
      <c r="F149" s="6">
        <v>101.5</v>
      </c>
      <c r="G149" s="6">
        <v>9.51</v>
      </c>
      <c r="H149" s="15">
        <v>1</v>
      </c>
      <c r="I149" s="8">
        <v>0</v>
      </c>
      <c r="J149" s="17">
        <f t="shared" si="8"/>
        <v>-1</v>
      </c>
      <c r="K149" s="7">
        <f t="shared" si="9"/>
        <v>-1</v>
      </c>
      <c r="L149" s="7"/>
    </row>
    <row r="150" spans="1:12" x14ac:dyDescent="0.25">
      <c r="A150" s="6" t="s">
        <v>288</v>
      </c>
      <c r="B150" s="6" t="s">
        <v>289</v>
      </c>
      <c r="C150" s="6">
        <v>1</v>
      </c>
      <c r="D150" s="6">
        <v>0</v>
      </c>
      <c r="E150" s="6">
        <v>1</v>
      </c>
      <c r="F150" s="6">
        <v>198</v>
      </c>
      <c r="G150" s="6">
        <v>29.83</v>
      </c>
      <c r="H150" s="15">
        <v>1</v>
      </c>
      <c r="I150" s="8">
        <v>0</v>
      </c>
      <c r="J150" s="17">
        <f t="shared" si="8"/>
        <v>-1</v>
      </c>
      <c r="K150" s="7">
        <f t="shared" si="9"/>
        <v>-1</v>
      </c>
      <c r="L150" s="7"/>
    </row>
    <row r="151" spans="1:12" x14ac:dyDescent="0.25">
      <c r="A151" s="6" t="s">
        <v>250</v>
      </c>
      <c r="B151" s="6" t="s">
        <v>251</v>
      </c>
      <c r="C151" s="6">
        <v>1</v>
      </c>
      <c r="D151" s="6">
        <v>0</v>
      </c>
      <c r="E151" s="6">
        <v>1</v>
      </c>
      <c r="F151" s="6">
        <v>164.5</v>
      </c>
      <c r="G151" s="6">
        <v>21.7</v>
      </c>
      <c r="H151" s="15">
        <v>1</v>
      </c>
      <c r="I151" s="8">
        <v>0</v>
      </c>
      <c r="J151" s="17">
        <f t="shared" si="8"/>
        <v>-1</v>
      </c>
      <c r="K151" s="7">
        <f t="shared" si="9"/>
        <v>-1</v>
      </c>
      <c r="L151" s="7"/>
    </row>
    <row r="152" spans="1:12" x14ac:dyDescent="0.25">
      <c r="A152" s="6" t="s">
        <v>314</v>
      </c>
      <c r="B152" s="6" t="s">
        <v>315</v>
      </c>
      <c r="C152" s="6">
        <v>1</v>
      </c>
      <c r="D152" s="6">
        <v>0</v>
      </c>
      <c r="E152" s="6">
        <v>1</v>
      </c>
      <c r="F152" s="6">
        <v>54</v>
      </c>
      <c r="G152" s="6">
        <v>2.16</v>
      </c>
      <c r="H152" s="15">
        <v>1</v>
      </c>
      <c r="I152" s="8">
        <v>0</v>
      </c>
      <c r="J152" s="17">
        <f t="shared" si="8"/>
        <v>-1</v>
      </c>
      <c r="K152" s="7">
        <f t="shared" si="9"/>
        <v>-1</v>
      </c>
      <c r="L152" s="7"/>
    </row>
    <row r="153" spans="1:12" x14ac:dyDescent="0.25">
      <c r="A153" s="6" t="s">
        <v>294</v>
      </c>
      <c r="B153" s="6" t="s">
        <v>295</v>
      </c>
      <c r="C153" s="6">
        <v>1</v>
      </c>
      <c r="D153" s="6">
        <v>0</v>
      </c>
      <c r="E153" s="6">
        <v>1</v>
      </c>
      <c r="F153" s="6">
        <v>507.5</v>
      </c>
      <c r="G153" s="6">
        <v>45.99</v>
      </c>
      <c r="H153" s="15">
        <v>1</v>
      </c>
      <c r="I153" s="8">
        <v>0</v>
      </c>
      <c r="J153" s="17">
        <f t="shared" si="8"/>
        <v>-1</v>
      </c>
      <c r="K153" s="7">
        <f t="shared" si="9"/>
        <v>-1</v>
      </c>
      <c r="L153" s="7"/>
    </row>
    <row r="154" spans="1:12" x14ac:dyDescent="0.25">
      <c r="A154" s="6" t="s">
        <v>246</v>
      </c>
      <c r="B154" s="6" t="s">
        <v>247</v>
      </c>
      <c r="C154" s="6">
        <v>1</v>
      </c>
      <c r="D154" s="6">
        <v>0</v>
      </c>
      <c r="E154" s="6">
        <v>1</v>
      </c>
      <c r="F154" s="6">
        <v>133.5</v>
      </c>
      <c r="G154" s="6">
        <v>15.5</v>
      </c>
      <c r="H154" s="15">
        <v>1</v>
      </c>
      <c r="I154" s="8">
        <v>0</v>
      </c>
      <c r="J154" s="17">
        <f t="shared" si="8"/>
        <v>-1</v>
      </c>
      <c r="K154" s="7">
        <f t="shared" si="9"/>
        <v>-1</v>
      </c>
      <c r="L154" s="7"/>
    </row>
    <row r="155" spans="1:12" x14ac:dyDescent="0.25">
      <c r="A155" s="6" t="s">
        <v>256</v>
      </c>
      <c r="B155" s="6" t="s">
        <v>257</v>
      </c>
      <c r="C155" s="6">
        <v>1</v>
      </c>
      <c r="D155" s="6">
        <v>0</v>
      </c>
      <c r="E155" s="6">
        <v>1</v>
      </c>
      <c r="F155" s="6">
        <v>74</v>
      </c>
      <c r="G155" s="6">
        <v>7.19</v>
      </c>
      <c r="H155" s="15">
        <v>1</v>
      </c>
      <c r="I155" s="8">
        <v>0</v>
      </c>
      <c r="J155" s="17">
        <f t="shared" si="8"/>
        <v>-1</v>
      </c>
      <c r="K155" s="7">
        <f t="shared" si="9"/>
        <v>-1</v>
      </c>
      <c r="L155" s="7"/>
    </row>
    <row r="156" spans="1:12" x14ac:dyDescent="0.25">
      <c r="A156" s="6" t="s">
        <v>266</v>
      </c>
      <c r="B156" s="6" t="s">
        <v>267</v>
      </c>
      <c r="C156" s="6">
        <v>1</v>
      </c>
      <c r="D156" s="6">
        <v>0</v>
      </c>
      <c r="E156" s="6">
        <v>1</v>
      </c>
      <c r="F156" s="6">
        <v>244.5</v>
      </c>
      <c r="G156" s="6">
        <v>43.48</v>
      </c>
      <c r="H156" s="15">
        <v>1</v>
      </c>
      <c r="I156" s="8">
        <v>0</v>
      </c>
      <c r="J156" s="17">
        <f t="shared" si="8"/>
        <v>-1</v>
      </c>
      <c r="K156" s="7">
        <f t="shared" si="9"/>
        <v>-1</v>
      </c>
      <c r="L156" s="7"/>
    </row>
    <row r="157" spans="1:12" x14ac:dyDescent="0.25">
      <c r="A157" s="6" t="s">
        <v>292</v>
      </c>
      <c r="B157" s="6" t="s">
        <v>293</v>
      </c>
      <c r="C157" s="6">
        <v>1</v>
      </c>
      <c r="D157" s="6">
        <v>0</v>
      </c>
      <c r="E157" s="6">
        <v>1</v>
      </c>
      <c r="F157" s="6">
        <v>165</v>
      </c>
      <c r="G157" s="6">
        <v>27.24</v>
      </c>
      <c r="H157" s="15">
        <v>1</v>
      </c>
      <c r="I157" s="8">
        <f>VLOOKUP(B157,'SET-26'!B$2:H$174,2,FALSE)</f>
        <v>2</v>
      </c>
      <c r="J157" s="17">
        <f t="shared" si="8"/>
        <v>1</v>
      </c>
      <c r="K157" s="7">
        <f t="shared" si="9"/>
        <v>1</v>
      </c>
      <c r="L157" s="7"/>
    </row>
    <row r="158" spans="1:12" x14ac:dyDescent="0.25">
      <c r="A158" s="6" t="s">
        <v>302</v>
      </c>
      <c r="B158" s="6" t="s">
        <v>303</v>
      </c>
      <c r="C158" s="6">
        <v>1</v>
      </c>
      <c r="D158" s="6">
        <v>0</v>
      </c>
      <c r="E158" s="6">
        <v>1</v>
      </c>
      <c r="F158" s="6">
        <v>302</v>
      </c>
      <c r="G158" s="6">
        <v>56.94</v>
      </c>
      <c r="H158" s="15">
        <v>1</v>
      </c>
      <c r="I158" s="8">
        <v>0</v>
      </c>
      <c r="J158" s="17">
        <f t="shared" si="8"/>
        <v>-1</v>
      </c>
      <c r="K158" s="7">
        <f t="shared" si="9"/>
        <v>-1</v>
      </c>
      <c r="L158" s="7"/>
    </row>
    <row r="159" spans="1:12" x14ac:dyDescent="0.25">
      <c r="A159" s="6" t="s">
        <v>324</v>
      </c>
      <c r="B159" s="6" t="s">
        <v>325</v>
      </c>
      <c r="C159" s="6">
        <v>1</v>
      </c>
      <c r="D159" s="6">
        <v>0</v>
      </c>
      <c r="E159" s="6">
        <v>1</v>
      </c>
      <c r="F159" s="6">
        <v>137</v>
      </c>
      <c r="G159" s="6">
        <v>33.090000000000003</v>
      </c>
      <c r="H159" s="15">
        <v>1</v>
      </c>
      <c r="I159" s="8">
        <v>0</v>
      </c>
      <c r="J159" s="17">
        <f t="shared" si="8"/>
        <v>-1</v>
      </c>
      <c r="K159" s="7">
        <f t="shared" si="9"/>
        <v>-1</v>
      </c>
      <c r="L159" s="7"/>
    </row>
    <row r="160" spans="1:12" x14ac:dyDescent="0.25">
      <c r="A160" s="6" t="s">
        <v>230</v>
      </c>
      <c r="B160" s="6" t="s">
        <v>231</v>
      </c>
      <c r="C160" s="6">
        <v>1</v>
      </c>
      <c r="D160" s="6">
        <v>0</v>
      </c>
      <c r="E160" s="6">
        <v>1</v>
      </c>
      <c r="F160" s="6">
        <v>76</v>
      </c>
      <c r="G160" s="6">
        <v>5.0999999999999996</v>
      </c>
      <c r="H160" s="15">
        <v>1</v>
      </c>
      <c r="I160" s="8">
        <v>0</v>
      </c>
      <c r="J160" s="17">
        <f t="shared" si="8"/>
        <v>-1</v>
      </c>
      <c r="K160" s="7">
        <f t="shared" si="9"/>
        <v>-1</v>
      </c>
      <c r="L160" s="7"/>
    </row>
    <row r="161" spans="1:12" x14ac:dyDescent="0.25">
      <c r="A161" s="6" t="s">
        <v>224</v>
      </c>
      <c r="B161" s="6" t="s">
        <v>225</v>
      </c>
      <c r="C161" s="6">
        <v>1</v>
      </c>
      <c r="D161" s="6">
        <v>0</v>
      </c>
      <c r="E161" s="6">
        <v>1</v>
      </c>
      <c r="F161" s="6">
        <v>267.5</v>
      </c>
      <c r="G161" s="6">
        <v>35.07</v>
      </c>
      <c r="H161" s="15">
        <v>1</v>
      </c>
      <c r="I161" s="8">
        <v>0</v>
      </c>
      <c r="J161" s="17">
        <f t="shared" si="8"/>
        <v>-1</v>
      </c>
      <c r="K161" s="7">
        <f t="shared" si="9"/>
        <v>-1</v>
      </c>
      <c r="L161" s="7"/>
    </row>
    <row r="162" spans="1:12" x14ac:dyDescent="0.25">
      <c r="A162" s="6" t="s">
        <v>274</v>
      </c>
      <c r="B162" s="6" t="s">
        <v>275</v>
      </c>
      <c r="C162" s="6">
        <v>1</v>
      </c>
      <c r="D162" s="6">
        <v>0</v>
      </c>
      <c r="E162" s="6">
        <v>1</v>
      </c>
      <c r="F162" s="6">
        <v>121.5</v>
      </c>
      <c r="G162" s="6">
        <v>12.06</v>
      </c>
      <c r="H162" s="15">
        <v>1</v>
      </c>
      <c r="I162" s="8">
        <f>VLOOKUP(B162,'SET-26'!B$2:H$174,2,FALSE)</f>
        <v>3</v>
      </c>
      <c r="J162" s="17">
        <f t="shared" ref="J162:J193" si="10">I162-C162</f>
        <v>2</v>
      </c>
      <c r="K162" s="7">
        <f t="shared" ref="K162:K193" si="11">J162/C162</f>
        <v>2</v>
      </c>
      <c r="L162" s="7"/>
    </row>
    <row r="163" spans="1:12" x14ac:dyDescent="0.25">
      <c r="A163" s="6" t="s">
        <v>240</v>
      </c>
      <c r="B163" s="6" t="s">
        <v>241</v>
      </c>
      <c r="C163" s="6">
        <v>1</v>
      </c>
      <c r="D163" s="6">
        <v>0</v>
      </c>
      <c r="E163" s="6">
        <v>1</v>
      </c>
      <c r="F163" s="6">
        <v>162</v>
      </c>
      <c r="G163" s="6">
        <v>26.81</v>
      </c>
      <c r="H163" s="15">
        <v>1</v>
      </c>
      <c r="I163" s="8">
        <v>0</v>
      </c>
      <c r="J163" s="17">
        <f t="shared" si="10"/>
        <v>-1</v>
      </c>
      <c r="K163" s="7">
        <f t="shared" si="11"/>
        <v>-1</v>
      </c>
      <c r="L163" s="7"/>
    </row>
    <row r="164" spans="1:12" x14ac:dyDescent="0.25">
      <c r="A164" s="6" t="s">
        <v>346</v>
      </c>
      <c r="B164" s="6" t="s">
        <v>347</v>
      </c>
      <c r="C164" s="6">
        <v>1</v>
      </c>
      <c r="D164" s="6">
        <v>0</v>
      </c>
      <c r="E164" s="6">
        <v>1</v>
      </c>
      <c r="F164" s="6">
        <v>196.5</v>
      </c>
      <c r="G164" s="6">
        <v>12.15</v>
      </c>
      <c r="H164" s="15">
        <v>1</v>
      </c>
      <c r="I164" s="8">
        <v>0</v>
      </c>
      <c r="J164" s="17">
        <f t="shared" si="10"/>
        <v>-1</v>
      </c>
      <c r="K164" s="7">
        <f t="shared" si="11"/>
        <v>-1</v>
      </c>
      <c r="L164" s="7"/>
    </row>
    <row r="165" spans="1:12" x14ac:dyDescent="0.25">
      <c r="A165" s="6" t="s">
        <v>262</v>
      </c>
      <c r="B165" s="6" t="s">
        <v>263</v>
      </c>
      <c r="C165" s="6">
        <v>1</v>
      </c>
      <c r="D165" s="6">
        <v>0</v>
      </c>
      <c r="E165" s="6">
        <v>1</v>
      </c>
      <c r="F165" s="6">
        <v>53.5</v>
      </c>
      <c r="G165" s="6">
        <v>2.12</v>
      </c>
      <c r="H165" s="15">
        <v>1</v>
      </c>
      <c r="I165" s="8">
        <v>0</v>
      </c>
      <c r="J165" s="17">
        <f t="shared" si="10"/>
        <v>-1</v>
      </c>
      <c r="K165" s="7">
        <f t="shared" si="11"/>
        <v>-1</v>
      </c>
      <c r="L165" s="7"/>
    </row>
    <row r="166" spans="1:12" x14ac:dyDescent="0.25">
      <c r="A166" s="6" t="s">
        <v>312</v>
      </c>
      <c r="B166" s="6" t="s">
        <v>313</v>
      </c>
      <c r="C166" s="6">
        <v>1</v>
      </c>
      <c r="D166" s="6">
        <v>0</v>
      </c>
      <c r="E166" s="6">
        <v>1</v>
      </c>
      <c r="F166" s="6">
        <v>85.5</v>
      </c>
      <c r="G166" s="6">
        <v>9.64</v>
      </c>
      <c r="H166" s="15">
        <v>1</v>
      </c>
      <c r="I166" s="8">
        <v>0</v>
      </c>
      <c r="J166" s="17">
        <f t="shared" si="10"/>
        <v>-1</v>
      </c>
      <c r="K166" s="7">
        <f t="shared" si="11"/>
        <v>-1</v>
      </c>
      <c r="L166" s="7"/>
    </row>
    <row r="167" spans="1:12" x14ac:dyDescent="0.25">
      <c r="A167" s="6" t="s">
        <v>318</v>
      </c>
      <c r="B167" s="6" t="s">
        <v>319</v>
      </c>
      <c r="C167" s="6">
        <v>1</v>
      </c>
      <c r="D167" s="6">
        <v>0</v>
      </c>
      <c r="E167" s="6">
        <v>1</v>
      </c>
      <c r="F167" s="6">
        <v>341</v>
      </c>
      <c r="G167" s="6">
        <v>89.86</v>
      </c>
      <c r="H167" s="15">
        <v>1</v>
      </c>
      <c r="I167" s="8">
        <v>0</v>
      </c>
      <c r="J167" s="17">
        <f t="shared" si="10"/>
        <v>-1</v>
      </c>
      <c r="K167" s="7">
        <f t="shared" si="11"/>
        <v>-1</v>
      </c>
      <c r="L167" s="7"/>
    </row>
    <row r="168" spans="1:12" x14ac:dyDescent="0.25">
      <c r="A168" s="6" t="s">
        <v>342</v>
      </c>
      <c r="B168" s="6" t="s">
        <v>343</v>
      </c>
      <c r="C168" s="6">
        <v>1</v>
      </c>
      <c r="D168" s="6">
        <v>0</v>
      </c>
      <c r="E168" s="6">
        <v>1</v>
      </c>
      <c r="F168" s="6">
        <v>226</v>
      </c>
      <c r="G168" s="6">
        <v>56.88</v>
      </c>
      <c r="H168" s="15">
        <v>1</v>
      </c>
      <c r="I168" s="8">
        <v>0</v>
      </c>
      <c r="J168" s="17">
        <f t="shared" si="10"/>
        <v>-1</v>
      </c>
      <c r="K168" s="7">
        <f t="shared" si="11"/>
        <v>-1</v>
      </c>
      <c r="L168" s="7"/>
    </row>
    <row r="169" spans="1:12" x14ac:dyDescent="0.25">
      <c r="A169" s="6" t="s">
        <v>216</v>
      </c>
      <c r="B169" s="6" t="s">
        <v>217</v>
      </c>
      <c r="C169" s="6">
        <v>1</v>
      </c>
      <c r="D169" s="6">
        <v>0</v>
      </c>
      <c r="E169" s="6">
        <v>1</v>
      </c>
      <c r="F169" s="6">
        <v>264</v>
      </c>
      <c r="G169" s="6">
        <v>59.31</v>
      </c>
      <c r="H169" s="15">
        <v>1</v>
      </c>
      <c r="I169" s="8">
        <v>0</v>
      </c>
      <c r="J169" s="17">
        <f t="shared" si="10"/>
        <v>-1</v>
      </c>
      <c r="K169" s="7">
        <f t="shared" si="11"/>
        <v>-1</v>
      </c>
      <c r="L169" s="7"/>
    </row>
    <row r="170" spans="1:12" x14ac:dyDescent="0.25">
      <c r="A170" s="6" t="s">
        <v>260</v>
      </c>
      <c r="B170" s="6" t="s">
        <v>261</v>
      </c>
      <c r="C170" s="6">
        <v>1</v>
      </c>
      <c r="D170" s="6">
        <v>0</v>
      </c>
      <c r="E170" s="6">
        <v>1</v>
      </c>
      <c r="F170" s="6">
        <v>62</v>
      </c>
      <c r="G170" s="6">
        <v>3.93</v>
      </c>
      <c r="H170" s="15">
        <v>1</v>
      </c>
      <c r="I170" s="8">
        <f>VLOOKUP(B170,'SET-26'!B$2:H$174,2,FALSE)</f>
        <v>1</v>
      </c>
      <c r="J170" s="17">
        <f t="shared" si="10"/>
        <v>0</v>
      </c>
      <c r="K170" s="7">
        <f t="shared" si="11"/>
        <v>0</v>
      </c>
      <c r="L170" s="7"/>
    </row>
    <row r="171" spans="1:12" x14ac:dyDescent="0.25">
      <c r="A171" s="6" t="s">
        <v>344</v>
      </c>
      <c r="B171" s="6" t="s">
        <v>345</v>
      </c>
      <c r="C171" s="6">
        <v>1</v>
      </c>
      <c r="D171" s="6">
        <v>0</v>
      </c>
      <c r="E171" s="6">
        <v>1</v>
      </c>
      <c r="F171" s="6">
        <v>178.5</v>
      </c>
      <c r="G171" s="6">
        <v>31.53</v>
      </c>
      <c r="H171" s="15">
        <v>1</v>
      </c>
      <c r="I171" s="8">
        <v>0</v>
      </c>
      <c r="J171" s="17">
        <f t="shared" si="10"/>
        <v>-1</v>
      </c>
      <c r="K171" s="7">
        <f t="shared" si="11"/>
        <v>-1</v>
      </c>
      <c r="L171" s="7"/>
    </row>
    <row r="172" spans="1:12" x14ac:dyDescent="0.25">
      <c r="A172" s="6" t="s">
        <v>284</v>
      </c>
      <c r="B172" s="6" t="s">
        <v>285</v>
      </c>
      <c r="C172" s="6">
        <v>1</v>
      </c>
      <c r="D172" s="6">
        <v>0</v>
      </c>
      <c r="E172" s="6">
        <v>1</v>
      </c>
      <c r="F172" s="6">
        <v>98</v>
      </c>
      <c r="G172" s="6">
        <v>14.5</v>
      </c>
      <c r="H172" s="15">
        <v>1</v>
      </c>
      <c r="I172" s="8">
        <v>0</v>
      </c>
      <c r="J172" s="17">
        <f t="shared" si="10"/>
        <v>-1</v>
      </c>
      <c r="K172" s="7">
        <f t="shared" si="11"/>
        <v>-1</v>
      </c>
      <c r="L172" s="7"/>
    </row>
    <row r="173" spans="1:12" x14ac:dyDescent="0.25">
      <c r="A173" s="6" t="s">
        <v>226</v>
      </c>
      <c r="B173" s="6" t="s">
        <v>227</v>
      </c>
      <c r="C173" s="6">
        <v>1</v>
      </c>
      <c r="D173" s="6">
        <v>0</v>
      </c>
      <c r="E173" s="6">
        <v>1</v>
      </c>
      <c r="F173" s="6">
        <v>97</v>
      </c>
      <c r="G173" s="6">
        <v>2.48</v>
      </c>
      <c r="H173" s="15">
        <v>1</v>
      </c>
      <c r="I173" s="8">
        <v>0</v>
      </c>
      <c r="J173" s="17">
        <f t="shared" si="10"/>
        <v>-1</v>
      </c>
      <c r="K173" s="7">
        <f t="shared" si="11"/>
        <v>-1</v>
      </c>
      <c r="L173" s="7"/>
    </row>
    <row r="174" spans="1:12" x14ac:dyDescent="0.25">
      <c r="A174" s="6" t="s">
        <v>286</v>
      </c>
      <c r="B174" s="6" t="s">
        <v>287</v>
      </c>
      <c r="C174" s="6">
        <v>1</v>
      </c>
      <c r="D174" s="6">
        <v>0</v>
      </c>
      <c r="E174" s="6">
        <v>1</v>
      </c>
      <c r="F174" s="6">
        <v>144</v>
      </c>
      <c r="G174" s="6">
        <v>14.66</v>
      </c>
      <c r="H174" s="15">
        <v>1</v>
      </c>
      <c r="I174" s="8">
        <v>0</v>
      </c>
      <c r="J174" s="17">
        <f t="shared" si="10"/>
        <v>-1</v>
      </c>
      <c r="K174" s="7">
        <f t="shared" si="11"/>
        <v>-1</v>
      </c>
      <c r="L174" s="7"/>
    </row>
    <row r="175" spans="1:12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25">
      <c r="A176" s="6"/>
      <c r="B176" s="6"/>
      <c r="C176" s="6"/>
      <c r="D176" s="6"/>
      <c r="E176" s="6"/>
      <c r="F176" s="6"/>
      <c r="G176" s="6"/>
      <c r="H176" s="6"/>
      <c r="I176" s="8"/>
      <c r="J176" s="6"/>
      <c r="K176" s="6"/>
      <c r="L176" s="6"/>
    </row>
  </sheetData>
  <autoFilter ref="A1:L1" xr:uid="{B825B3A0-1A9B-4FF9-8747-E0F2C1E80F28}">
    <sortState xmlns:xlrd2="http://schemas.microsoft.com/office/spreadsheetml/2017/richdata2" ref="A2:L174">
      <sortCondition descending="1" ref="C1"/>
    </sortState>
  </autoFilter>
  <sortState xmlns:xlrd2="http://schemas.microsoft.com/office/spreadsheetml/2017/richdata2" ref="A2:L176">
    <sortCondition ref="A2:A176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24D8-6527-452D-876A-1B944B1E4354}">
  <dimension ref="A1:T174"/>
  <sheetViews>
    <sheetView workbookViewId="0">
      <pane ySplit="1" topLeftCell="A8" activePane="bottomLeft" state="frozen"/>
      <selection pane="bottomLeft" activeCell="K19" sqref="K19"/>
    </sheetView>
  </sheetViews>
  <sheetFormatPr defaultRowHeight="15" x14ac:dyDescent="0.25"/>
  <cols>
    <col min="1" max="1" width="15.5703125" style="1" customWidth="1"/>
    <col min="2" max="2" width="29.7109375" style="1" bestFit="1" customWidth="1"/>
    <col min="3" max="12" width="9.140625" style="1"/>
    <col min="13" max="13" width="21.5703125" style="1" bestFit="1" customWidth="1"/>
    <col min="14" max="16384" width="9.140625" style="1"/>
  </cols>
  <sheetData>
    <row r="1" spans="1:13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3" x14ac:dyDescent="0.25">
      <c r="A2" s="1" t="s">
        <v>356</v>
      </c>
      <c r="B2" s="1" t="s">
        <v>357</v>
      </c>
      <c r="C2" s="1">
        <v>241</v>
      </c>
      <c r="D2" s="1">
        <v>115</v>
      </c>
      <c r="E2" s="1">
        <v>126</v>
      </c>
      <c r="F2" s="2">
        <v>25681.9</v>
      </c>
      <c r="G2" s="2">
        <v>5845.37</v>
      </c>
      <c r="H2" s="3">
        <v>0.52280000000000004</v>
      </c>
    </row>
    <row r="3" spans="1:13" x14ac:dyDescent="0.25">
      <c r="A3" s="1" t="s">
        <v>8</v>
      </c>
      <c r="B3" s="1" t="s">
        <v>9</v>
      </c>
      <c r="C3" s="1">
        <v>179</v>
      </c>
      <c r="D3" s="1">
        <v>56</v>
      </c>
      <c r="E3" s="1">
        <v>123</v>
      </c>
      <c r="F3" s="2">
        <v>20363.66</v>
      </c>
      <c r="G3" s="2">
        <v>3682.53</v>
      </c>
      <c r="H3" s="3">
        <v>0.68720000000000003</v>
      </c>
      <c r="M3" s="1" t="s">
        <v>609</v>
      </c>
    </row>
    <row r="4" spans="1:13" x14ac:dyDescent="0.25">
      <c r="A4" s="1" t="s">
        <v>10</v>
      </c>
      <c r="B4" s="1" t="s">
        <v>11</v>
      </c>
      <c r="C4" s="1">
        <v>147</v>
      </c>
      <c r="D4" s="1">
        <v>100</v>
      </c>
      <c r="E4" s="1">
        <v>47</v>
      </c>
      <c r="F4" s="2">
        <v>12960.26</v>
      </c>
      <c r="G4" s="2">
        <v>3322.13</v>
      </c>
      <c r="H4" s="3">
        <v>0.31969999999999998</v>
      </c>
    </row>
    <row r="5" spans="1:13" x14ac:dyDescent="0.25">
      <c r="A5" s="1" t="s">
        <v>14</v>
      </c>
      <c r="B5" s="1" t="s">
        <v>15</v>
      </c>
      <c r="C5" s="1">
        <v>141</v>
      </c>
      <c r="D5" s="1">
        <v>86</v>
      </c>
      <c r="E5" s="1">
        <v>55</v>
      </c>
      <c r="F5" s="2">
        <v>12718.05</v>
      </c>
      <c r="G5" s="2">
        <v>2811.99</v>
      </c>
      <c r="H5" s="3">
        <v>0.3901</v>
      </c>
    </row>
    <row r="6" spans="1:13" x14ac:dyDescent="0.25">
      <c r="A6" s="1" t="s">
        <v>12</v>
      </c>
      <c r="B6" s="1" t="s">
        <v>13</v>
      </c>
      <c r="C6" s="1">
        <v>116</v>
      </c>
      <c r="D6" s="1">
        <v>47</v>
      </c>
      <c r="E6" s="1">
        <v>69</v>
      </c>
      <c r="F6" s="2">
        <v>12028.4</v>
      </c>
      <c r="G6" s="2">
        <v>2437.21</v>
      </c>
      <c r="H6" s="3">
        <v>0.5948</v>
      </c>
    </row>
    <row r="7" spans="1:13" x14ac:dyDescent="0.25">
      <c r="A7" s="1" t="s">
        <v>16</v>
      </c>
      <c r="B7" s="1" t="s">
        <v>17</v>
      </c>
      <c r="C7" s="1">
        <v>76</v>
      </c>
      <c r="D7" s="1">
        <v>33</v>
      </c>
      <c r="E7" s="1">
        <v>43</v>
      </c>
      <c r="F7" s="2">
        <v>6698.8</v>
      </c>
      <c r="G7" s="2">
        <v>1495.54</v>
      </c>
      <c r="H7" s="3">
        <v>0.56579999999999997</v>
      </c>
    </row>
    <row r="8" spans="1:13" x14ac:dyDescent="0.25">
      <c r="A8" s="1" t="s">
        <v>22</v>
      </c>
      <c r="B8" s="1" t="s">
        <v>23</v>
      </c>
      <c r="C8" s="1">
        <v>67</v>
      </c>
      <c r="D8" s="1">
        <v>39</v>
      </c>
      <c r="E8" s="1">
        <v>28</v>
      </c>
      <c r="F8" s="2">
        <v>10841.82</v>
      </c>
      <c r="G8" s="2">
        <v>2791.14</v>
      </c>
      <c r="H8" s="3">
        <v>0.41789999999999999</v>
      </c>
    </row>
    <row r="9" spans="1:13" x14ac:dyDescent="0.25">
      <c r="A9" s="1" t="s">
        <v>20</v>
      </c>
      <c r="B9" s="1" t="s">
        <v>21</v>
      </c>
      <c r="C9" s="1">
        <v>58</v>
      </c>
      <c r="D9" s="1">
        <v>41</v>
      </c>
      <c r="E9" s="1">
        <v>17</v>
      </c>
      <c r="F9" s="2">
        <v>4609.2</v>
      </c>
      <c r="G9" s="2">
        <v>1183.1600000000001</v>
      </c>
      <c r="H9" s="3">
        <v>0.29310000000000003</v>
      </c>
    </row>
    <row r="10" spans="1:13" x14ac:dyDescent="0.25">
      <c r="A10" s="1" t="s">
        <v>18</v>
      </c>
      <c r="B10" s="1" t="s">
        <v>19</v>
      </c>
      <c r="C10" s="1">
        <v>50</v>
      </c>
      <c r="D10" s="1">
        <v>38</v>
      </c>
      <c r="E10" s="1">
        <v>12</v>
      </c>
      <c r="F10" s="2">
        <v>1889.44</v>
      </c>
      <c r="G10" s="1">
        <v>311.7</v>
      </c>
      <c r="H10" s="3">
        <v>0.24</v>
      </c>
    </row>
    <row r="11" spans="1:13" x14ac:dyDescent="0.25">
      <c r="A11" s="1" t="s">
        <v>48</v>
      </c>
      <c r="B11" s="1" t="s">
        <v>49</v>
      </c>
      <c r="C11" s="1">
        <v>47</v>
      </c>
      <c r="D11" s="1">
        <v>29</v>
      </c>
      <c r="E11" s="1">
        <v>18</v>
      </c>
      <c r="F11" s="2">
        <v>3722.55</v>
      </c>
      <c r="G11" s="1">
        <v>901.29</v>
      </c>
      <c r="H11" s="3">
        <v>0.38300000000000001</v>
      </c>
    </row>
    <row r="12" spans="1:13" x14ac:dyDescent="0.25">
      <c r="A12" s="1" t="s">
        <v>50</v>
      </c>
      <c r="B12" s="1" t="s">
        <v>51</v>
      </c>
      <c r="C12" s="1">
        <v>28</v>
      </c>
      <c r="D12" s="1">
        <v>21</v>
      </c>
      <c r="E12" s="1">
        <v>7</v>
      </c>
      <c r="F12" s="2">
        <v>1330.67</v>
      </c>
      <c r="G12" s="1">
        <v>232.06</v>
      </c>
      <c r="H12" s="3">
        <v>0.25</v>
      </c>
    </row>
    <row r="13" spans="1:13" x14ac:dyDescent="0.25">
      <c r="A13" s="1" t="s">
        <v>122</v>
      </c>
      <c r="B13" s="1" t="s">
        <v>123</v>
      </c>
      <c r="C13" s="1">
        <v>24</v>
      </c>
      <c r="D13" s="1">
        <v>1</v>
      </c>
      <c r="E13" s="1">
        <v>23</v>
      </c>
      <c r="F13" s="2">
        <v>3735.2</v>
      </c>
      <c r="G13" s="1">
        <v>652.65</v>
      </c>
      <c r="H13" s="3">
        <v>0.95830000000000004</v>
      </c>
    </row>
    <row r="14" spans="1:13" x14ac:dyDescent="0.25">
      <c r="A14" s="1" t="s">
        <v>64</v>
      </c>
      <c r="B14" s="1" t="s">
        <v>65</v>
      </c>
      <c r="C14" s="1">
        <v>23</v>
      </c>
      <c r="D14" s="1">
        <v>22</v>
      </c>
      <c r="E14" s="1">
        <v>1</v>
      </c>
      <c r="F14" s="1">
        <v>183.75</v>
      </c>
      <c r="G14" s="1">
        <v>43.2</v>
      </c>
      <c r="H14" s="3">
        <v>4.3499999999999997E-2</v>
      </c>
    </row>
    <row r="15" spans="1:13" x14ac:dyDescent="0.25">
      <c r="A15" s="1" t="s">
        <v>38</v>
      </c>
      <c r="B15" s="1" t="s">
        <v>39</v>
      </c>
      <c r="C15" s="1">
        <v>19</v>
      </c>
      <c r="D15" s="1">
        <v>14</v>
      </c>
      <c r="E15" s="1">
        <v>5</v>
      </c>
      <c r="F15" s="1">
        <v>822.79</v>
      </c>
      <c r="G15" s="1">
        <v>148.19999999999999</v>
      </c>
      <c r="H15" s="3">
        <v>0.26319999999999999</v>
      </c>
    </row>
    <row r="16" spans="1:13" x14ac:dyDescent="0.25">
      <c r="A16" s="1" t="s">
        <v>46</v>
      </c>
      <c r="B16" s="1" t="s">
        <v>47</v>
      </c>
      <c r="C16" s="1">
        <v>18</v>
      </c>
      <c r="D16" s="1">
        <v>9</v>
      </c>
      <c r="E16" s="1">
        <v>9</v>
      </c>
      <c r="F16" s="2">
        <v>1667.59</v>
      </c>
      <c r="G16" s="1">
        <v>336.84</v>
      </c>
      <c r="H16" s="3">
        <v>0.5</v>
      </c>
    </row>
    <row r="17" spans="1:20" x14ac:dyDescent="0.25">
      <c r="A17" s="1" t="s">
        <v>370</v>
      </c>
      <c r="B17" s="1" t="s">
        <v>371</v>
      </c>
      <c r="C17" s="1">
        <v>18</v>
      </c>
      <c r="D17" s="1">
        <v>10</v>
      </c>
      <c r="E17" s="1">
        <v>8</v>
      </c>
      <c r="F17" s="2">
        <v>3356.51</v>
      </c>
      <c r="G17" s="1">
        <v>852.24</v>
      </c>
      <c r="H17" s="3">
        <v>0.44440000000000002</v>
      </c>
    </row>
    <row r="18" spans="1:20" x14ac:dyDescent="0.25">
      <c r="A18" s="1" t="s">
        <v>358</v>
      </c>
      <c r="B18" s="1" t="s">
        <v>359</v>
      </c>
      <c r="C18" s="1">
        <v>17</v>
      </c>
      <c r="D18" s="1">
        <v>6</v>
      </c>
      <c r="E18" s="1">
        <v>11</v>
      </c>
      <c r="F18" s="2">
        <v>1981.87</v>
      </c>
      <c r="G18" s="1">
        <v>385.81</v>
      </c>
      <c r="H18" s="3">
        <v>0.64710000000000001</v>
      </c>
    </row>
    <row r="19" spans="1:20" x14ac:dyDescent="0.25">
      <c r="A19" s="1" t="s">
        <v>194</v>
      </c>
      <c r="B19" s="1" t="s">
        <v>195</v>
      </c>
      <c r="C19" s="1">
        <v>16</v>
      </c>
      <c r="D19" s="1">
        <v>6</v>
      </c>
      <c r="E19" s="1">
        <v>10</v>
      </c>
      <c r="F19" s="2">
        <v>3523.23</v>
      </c>
      <c r="G19" s="1">
        <v>868.12</v>
      </c>
      <c r="H19" s="3">
        <v>0.625</v>
      </c>
    </row>
    <row r="20" spans="1:20" x14ac:dyDescent="0.25">
      <c r="A20" s="1" t="s">
        <v>26</v>
      </c>
      <c r="B20" s="1" t="s">
        <v>27</v>
      </c>
      <c r="C20" s="1">
        <v>12</v>
      </c>
      <c r="D20" s="1">
        <v>4</v>
      </c>
      <c r="E20" s="1">
        <v>8</v>
      </c>
      <c r="F20" s="2">
        <v>1174.67</v>
      </c>
      <c r="G20" s="1">
        <v>181.94</v>
      </c>
      <c r="H20" s="3">
        <v>0.66669999999999996</v>
      </c>
    </row>
    <row r="21" spans="1:20" x14ac:dyDescent="0.25">
      <c r="A21" s="1" t="s">
        <v>498</v>
      </c>
      <c r="B21" s="1" t="s">
        <v>499</v>
      </c>
      <c r="C21" s="1">
        <v>12</v>
      </c>
      <c r="D21" s="1">
        <v>11</v>
      </c>
      <c r="E21" s="1">
        <v>1</v>
      </c>
      <c r="F21" s="1">
        <v>429.5</v>
      </c>
      <c r="G21" s="1">
        <v>119.65</v>
      </c>
      <c r="H21" s="3">
        <v>8.3299999999999999E-2</v>
      </c>
      <c r="M21" s="1" t="s">
        <v>42</v>
      </c>
      <c r="N21" s="11" t="s">
        <v>43</v>
      </c>
      <c r="O21" s="11">
        <v>634</v>
      </c>
      <c r="P21" s="1">
        <v>590</v>
      </c>
      <c r="Q21" s="1">
        <v>44</v>
      </c>
      <c r="R21" s="2">
        <v>9726.39</v>
      </c>
      <c r="S21" s="2">
        <v>1418.22</v>
      </c>
      <c r="T21" s="3">
        <v>6.9400000000000003E-2</v>
      </c>
    </row>
    <row r="22" spans="1:20" x14ac:dyDescent="0.25">
      <c r="A22" s="1" t="s">
        <v>24</v>
      </c>
      <c r="B22" s="1" t="s">
        <v>25</v>
      </c>
      <c r="C22" s="1">
        <v>11</v>
      </c>
      <c r="D22" s="1">
        <v>2</v>
      </c>
      <c r="E22" s="1">
        <v>9</v>
      </c>
      <c r="F22" s="2">
        <v>3064</v>
      </c>
      <c r="G22" s="1">
        <v>729.64</v>
      </c>
      <c r="H22" s="3">
        <v>0.81820000000000004</v>
      </c>
    </row>
    <row r="23" spans="1:20" x14ac:dyDescent="0.25">
      <c r="A23" s="1" t="s">
        <v>360</v>
      </c>
      <c r="B23" s="1" t="s">
        <v>361</v>
      </c>
      <c r="C23" s="1">
        <v>10</v>
      </c>
      <c r="D23" s="1">
        <v>0</v>
      </c>
      <c r="E23" s="1">
        <v>10</v>
      </c>
      <c r="F23" s="2">
        <v>2500.13</v>
      </c>
      <c r="G23" s="1">
        <v>506.86</v>
      </c>
      <c r="H23" s="14">
        <v>1</v>
      </c>
    </row>
    <row r="24" spans="1:20" x14ac:dyDescent="0.25">
      <c r="A24" s="1" t="s">
        <v>362</v>
      </c>
      <c r="B24" s="1" t="s">
        <v>363</v>
      </c>
      <c r="C24" s="1">
        <v>10</v>
      </c>
      <c r="D24" s="1">
        <v>0</v>
      </c>
      <c r="E24" s="1">
        <v>10</v>
      </c>
      <c r="F24" s="2">
        <v>2214.06</v>
      </c>
      <c r="G24" s="1">
        <v>351.99</v>
      </c>
      <c r="H24" s="14">
        <v>1</v>
      </c>
    </row>
    <row r="25" spans="1:20" x14ac:dyDescent="0.25">
      <c r="A25" s="1" t="s">
        <v>364</v>
      </c>
      <c r="B25" s="1" t="s">
        <v>365</v>
      </c>
      <c r="C25" s="1">
        <v>9</v>
      </c>
      <c r="D25" s="1">
        <v>0</v>
      </c>
      <c r="E25" s="1">
        <v>9</v>
      </c>
      <c r="F25" s="2">
        <v>2135</v>
      </c>
      <c r="G25" s="1">
        <v>321.83</v>
      </c>
      <c r="H25" s="14">
        <v>1</v>
      </c>
    </row>
    <row r="26" spans="1:20" x14ac:dyDescent="0.25">
      <c r="A26" s="1" t="s">
        <v>276</v>
      </c>
      <c r="B26" s="1" t="s">
        <v>277</v>
      </c>
      <c r="C26" s="1">
        <v>9</v>
      </c>
      <c r="D26" s="1">
        <v>0</v>
      </c>
      <c r="E26" s="1">
        <v>9</v>
      </c>
      <c r="F26" s="2">
        <v>1838.77</v>
      </c>
      <c r="G26" s="1">
        <v>388.98</v>
      </c>
      <c r="H26" s="14">
        <v>1</v>
      </c>
    </row>
    <row r="27" spans="1:20" x14ac:dyDescent="0.25">
      <c r="A27" s="1" t="s">
        <v>368</v>
      </c>
      <c r="B27" s="1" t="s">
        <v>369</v>
      </c>
      <c r="C27" s="1">
        <v>9</v>
      </c>
      <c r="D27" s="1">
        <v>1</v>
      </c>
      <c r="E27" s="1">
        <v>8</v>
      </c>
      <c r="F27" s="2">
        <v>1639.65</v>
      </c>
      <c r="G27" s="1">
        <v>356.95</v>
      </c>
      <c r="H27" s="3">
        <v>0.88890000000000002</v>
      </c>
      <c r="N27" s="6" t="s">
        <v>614</v>
      </c>
      <c r="O27" s="6" t="s">
        <v>615</v>
      </c>
    </row>
    <row r="28" spans="1:20" x14ac:dyDescent="0.25">
      <c r="A28" s="1" t="s">
        <v>58</v>
      </c>
      <c r="B28" s="1" t="s">
        <v>59</v>
      </c>
      <c r="C28" s="1">
        <v>9</v>
      </c>
      <c r="D28" s="1">
        <v>2</v>
      </c>
      <c r="E28" s="1">
        <v>7</v>
      </c>
      <c r="F28" s="2">
        <v>1183.8399999999999</v>
      </c>
      <c r="G28" s="1">
        <v>232.39</v>
      </c>
      <c r="H28" s="3">
        <v>0.77780000000000005</v>
      </c>
      <c r="N28" s="6">
        <f>SUM(C2:C174)</f>
        <v>1786</v>
      </c>
      <c r="O28" s="6">
        <f>SUM(D2:D174)</f>
        <v>779</v>
      </c>
    </row>
    <row r="29" spans="1:20" x14ac:dyDescent="0.25">
      <c r="A29" s="1" t="s">
        <v>398</v>
      </c>
      <c r="B29" s="1" t="s">
        <v>399</v>
      </c>
      <c r="C29" s="1">
        <v>9</v>
      </c>
      <c r="D29" s="1">
        <v>5</v>
      </c>
      <c r="E29" s="1">
        <v>4</v>
      </c>
      <c r="F29" s="1">
        <v>859.34</v>
      </c>
      <c r="G29" s="1">
        <v>173.21</v>
      </c>
      <c r="H29" s="3">
        <v>0.44440000000000002</v>
      </c>
      <c r="N29" s="6"/>
      <c r="O29" s="23">
        <f>O28/N28</f>
        <v>0.43617021276595747</v>
      </c>
    </row>
    <row r="30" spans="1:20" x14ac:dyDescent="0.25">
      <c r="A30" s="1" t="s">
        <v>412</v>
      </c>
      <c r="B30" s="1" t="s">
        <v>413</v>
      </c>
      <c r="C30" s="1">
        <v>9</v>
      </c>
      <c r="D30" s="1">
        <v>6</v>
      </c>
      <c r="E30" s="1">
        <v>3</v>
      </c>
      <c r="F30" s="1">
        <v>433.5</v>
      </c>
      <c r="G30" s="1">
        <v>68.83</v>
      </c>
      <c r="H30" s="3">
        <v>0.33329999999999999</v>
      </c>
    </row>
    <row r="31" spans="1:20" x14ac:dyDescent="0.25">
      <c r="A31" s="1" t="s">
        <v>366</v>
      </c>
      <c r="B31" s="1" t="s">
        <v>367</v>
      </c>
      <c r="C31" s="1">
        <v>8</v>
      </c>
      <c r="D31" s="1">
        <v>0</v>
      </c>
      <c r="E31" s="1">
        <v>8</v>
      </c>
      <c r="F31" s="2">
        <v>1354.35</v>
      </c>
      <c r="G31" s="1">
        <v>265.47000000000003</v>
      </c>
      <c r="H31" s="14">
        <v>1</v>
      </c>
    </row>
    <row r="32" spans="1:20" x14ac:dyDescent="0.25">
      <c r="A32" s="1" t="s">
        <v>308</v>
      </c>
      <c r="B32" s="1" t="s">
        <v>309</v>
      </c>
      <c r="C32" s="1">
        <v>8</v>
      </c>
      <c r="D32" s="1">
        <v>4</v>
      </c>
      <c r="E32" s="1">
        <v>4</v>
      </c>
      <c r="F32" s="1">
        <v>356.5</v>
      </c>
      <c r="G32" s="1">
        <v>26.21</v>
      </c>
      <c r="H32" s="3">
        <v>0.5</v>
      </c>
      <c r="N32" s="1">
        <v>2420</v>
      </c>
      <c r="O32" s="1">
        <v>1369</v>
      </c>
    </row>
    <row r="33" spans="1:15" x14ac:dyDescent="0.25">
      <c r="A33" s="1" t="s">
        <v>166</v>
      </c>
      <c r="B33" s="1" t="s">
        <v>167</v>
      </c>
      <c r="C33" s="1">
        <v>8</v>
      </c>
      <c r="D33" s="1">
        <v>5</v>
      </c>
      <c r="E33" s="1">
        <v>3</v>
      </c>
      <c r="F33" s="1">
        <v>549.87</v>
      </c>
      <c r="G33" s="1">
        <v>94.91</v>
      </c>
      <c r="H33" s="3">
        <v>0.375</v>
      </c>
      <c r="N33" s="1">
        <f>N28+O21</f>
        <v>2420</v>
      </c>
      <c r="O33" s="1">
        <f>O28+P21</f>
        <v>1369</v>
      </c>
    </row>
    <row r="34" spans="1:15" x14ac:dyDescent="0.25">
      <c r="A34" s="1" t="s">
        <v>374</v>
      </c>
      <c r="B34" s="1" t="s">
        <v>375</v>
      </c>
      <c r="C34" s="1">
        <v>7</v>
      </c>
      <c r="D34" s="1">
        <v>0</v>
      </c>
      <c r="E34" s="1">
        <v>7</v>
      </c>
      <c r="F34" s="2">
        <v>1027.57</v>
      </c>
      <c r="G34" s="1">
        <v>213.41</v>
      </c>
      <c r="H34" s="14">
        <v>1</v>
      </c>
    </row>
    <row r="35" spans="1:15" x14ac:dyDescent="0.25">
      <c r="A35" s="1" t="s">
        <v>248</v>
      </c>
      <c r="B35" s="1" t="s">
        <v>249</v>
      </c>
      <c r="C35" s="1">
        <v>7</v>
      </c>
      <c r="D35" s="1">
        <v>0</v>
      </c>
      <c r="E35" s="1">
        <v>7</v>
      </c>
      <c r="F35" s="1">
        <v>961.25</v>
      </c>
      <c r="G35" s="1">
        <v>150.41</v>
      </c>
      <c r="H35" s="14">
        <v>1</v>
      </c>
    </row>
    <row r="36" spans="1:15" x14ac:dyDescent="0.25">
      <c r="A36" s="1" t="s">
        <v>372</v>
      </c>
      <c r="B36" s="1" t="s">
        <v>373</v>
      </c>
      <c r="C36" s="1">
        <v>7</v>
      </c>
      <c r="D36" s="1">
        <v>0</v>
      </c>
      <c r="E36" s="1">
        <v>7</v>
      </c>
      <c r="F36" s="2">
        <v>1192.0999999999999</v>
      </c>
      <c r="G36" s="1">
        <v>202.53</v>
      </c>
      <c r="H36" s="14">
        <v>1</v>
      </c>
      <c r="N36" s="1">
        <v>2663</v>
      </c>
      <c r="O36" s="1">
        <v>1612</v>
      </c>
    </row>
    <row r="37" spans="1:15" x14ac:dyDescent="0.25">
      <c r="A37" s="1" t="s">
        <v>376</v>
      </c>
      <c r="B37" s="1" t="s">
        <v>377</v>
      </c>
      <c r="C37" s="1">
        <v>7</v>
      </c>
      <c r="D37" s="1">
        <v>0</v>
      </c>
      <c r="E37" s="1">
        <v>7</v>
      </c>
      <c r="F37" s="2">
        <v>1802.5</v>
      </c>
      <c r="G37" s="1">
        <v>363.03</v>
      </c>
      <c r="H37" s="14">
        <v>1</v>
      </c>
      <c r="N37" s="1">
        <f>N36-O21</f>
        <v>2029</v>
      </c>
      <c r="O37" s="1">
        <f>O36-P21</f>
        <v>1022</v>
      </c>
    </row>
    <row r="38" spans="1:15" x14ac:dyDescent="0.25">
      <c r="A38" s="1" t="s">
        <v>382</v>
      </c>
      <c r="B38" s="1" t="s">
        <v>383</v>
      </c>
      <c r="C38" s="1">
        <v>7</v>
      </c>
      <c r="D38" s="1">
        <v>1</v>
      </c>
      <c r="E38" s="1">
        <v>6</v>
      </c>
      <c r="F38" s="2">
        <v>1608.21</v>
      </c>
      <c r="G38" s="1">
        <v>406.35</v>
      </c>
      <c r="H38" s="3">
        <v>0.85709999999999997</v>
      </c>
      <c r="O38" s="24">
        <f>O37/N37</f>
        <v>0.50369640216855593</v>
      </c>
    </row>
    <row r="39" spans="1:15" x14ac:dyDescent="0.25">
      <c r="A39" s="1" t="s">
        <v>60</v>
      </c>
      <c r="B39" s="1" t="s">
        <v>61</v>
      </c>
      <c r="C39" s="1">
        <v>7</v>
      </c>
      <c r="D39" s="1">
        <v>1</v>
      </c>
      <c r="E39" s="1">
        <v>6</v>
      </c>
      <c r="F39" s="1">
        <v>774.17</v>
      </c>
      <c r="G39" s="1">
        <v>121.97</v>
      </c>
      <c r="H39" s="3">
        <v>0.85709999999999997</v>
      </c>
    </row>
    <row r="40" spans="1:15" x14ac:dyDescent="0.25">
      <c r="A40" s="1" t="s">
        <v>384</v>
      </c>
      <c r="B40" s="1" t="s">
        <v>385</v>
      </c>
      <c r="C40" s="1">
        <v>6</v>
      </c>
      <c r="D40" s="1">
        <v>0</v>
      </c>
      <c r="E40" s="1">
        <v>6</v>
      </c>
      <c r="F40" s="1">
        <v>771.95</v>
      </c>
      <c r="G40" s="1">
        <v>91.49</v>
      </c>
      <c r="H40" s="14">
        <v>1</v>
      </c>
    </row>
    <row r="41" spans="1:15" x14ac:dyDescent="0.25">
      <c r="A41" s="1" t="s">
        <v>378</v>
      </c>
      <c r="B41" s="1" t="s">
        <v>379</v>
      </c>
      <c r="C41" s="1">
        <v>6</v>
      </c>
      <c r="D41" s="1">
        <v>0</v>
      </c>
      <c r="E41" s="1">
        <v>6</v>
      </c>
      <c r="F41" s="1">
        <v>712.5</v>
      </c>
      <c r="G41" s="1">
        <v>100.85</v>
      </c>
      <c r="H41" s="14">
        <v>1</v>
      </c>
    </row>
    <row r="42" spans="1:15" x14ac:dyDescent="0.25">
      <c r="A42" s="1" t="s">
        <v>380</v>
      </c>
      <c r="B42" s="1" t="s">
        <v>381</v>
      </c>
      <c r="C42" s="1">
        <v>6</v>
      </c>
      <c r="D42" s="1">
        <v>0</v>
      </c>
      <c r="E42" s="1">
        <v>6</v>
      </c>
      <c r="F42" s="1">
        <v>841.8</v>
      </c>
      <c r="G42" s="1">
        <v>99.37</v>
      </c>
      <c r="H42" s="14">
        <v>1</v>
      </c>
    </row>
    <row r="43" spans="1:15" x14ac:dyDescent="0.25">
      <c r="A43" s="1" t="s">
        <v>66</v>
      </c>
      <c r="B43" s="1" t="s">
        <v>67</v>
      </c>
      <c r="C43" s="1">
        <v>6</v>
      </c>
      <c r="D43" s="1">
        <v>1</v>
      </c>
      <c r="E43" s="1">
        <v>5</v>
      </c>
      <c r="F43" s="1">
        <v>973.89</v>
      </c>
      <c r="G43" s="1">
        <v>193.03</v>
      </c>
      <c r="H43" s="3">
        <v>0.83330000000000004</v>
      </c>
    </row>
    <row r="44" spans="1:15" x14ac:dyDescent="0.25">
      <c r="A44" s="1" t="s">
        <v>176</v>
      </c>
      <c r="B44" s="1" t="s">
        <v>177</v>
      </c>
      <c r="C44" s="1">
        <v>6</v>
      </c>
      <c r="D44" s="1">
        <v>1</v>
      </c>
      <c r="E44" s="1">
        <v>5</v>
      </c>
      <c r="F44" s="2">
        <v>1185.8900000000001</v>
      </c>
      <c r="G44" s="1">
        <v>230.55</v>
      </c>
      <c r="H44" s="3">
        <v>0.83330000000000004</v>
      </c>
    </row>
    <row r="45" spans="1:15" x14ac:dyDescent="0.25">
      <c r="A45" s="1" t="s">
        <v>394</v>
      </c>
      <c r="B45" s="1" t="s">
        <v>395</v>
      </c>
      <c r="C45" s="1">
        <v>6</v>
      </c>
      <c r="D45" s="1">
        <v>2</v>
      </c>
      <c r="E45" s="1">
        <v>4</v>
      </c>
      <c r="F45" s="1">
        <v>600.08000000000004</v>
      </c>
      <c r="G45" s="1">
        <v>90.53</v>
      </c>
      <c r="H45" s="3">
        <v>0.66669999999999996</v>
      </c>
    </row>
    <row r="46" spans="1:15" x14ac:dyDescent="0.25">
      <c r="A46" s="1" t="s">
        <v>416</v>
      </c>
      <c r="B46" s="1" t="s">
        <v>417</v>
      </c>
      <c r="C46" s="1">
        <v>6</v>
      </c>
      <c r="D46" s="1">
        <v>3</v>
      </c>
      <c r="E46" s="1">
        <v>3</v>
      </c>
      <c r="F46" s="1">
        <v>637.75</v>
      </c>
      <c r="G46" s="1">
        <v>176.4</v>
      </c>
      <c r="H46" s="3">
        <v>0.5</v>
      </c>
    </row>
    <row r="47" spans="1:15" x14ac:dyDescent="0.25">
      <c r="A47" s="1" t="s">
        <v>30</v>
      </c>
      <c r="B47" s="1" t="s">
        <v>31</v>
      </c>
      <c r="C47" s="1">
        <v>6</v>
      </c>
      <c r="D47" s="1">
        <v>4</v>
      </c>
      <c r="E47" s="1">
        <v>2</v>
      </c>
      <c r="F47" s="1">
        <v>652.4</v>
      </c>
      <c r="G47" s="1">
        <v>218.6</v>
      </c>
      <c r="H47" s="3">
        <v>0.33329999999999999</v>
      </c>
    </row>
    <row r="48" spans="1:15" x14ac:dyDescent="0.25">
      <c r="A48" s="1" t="s">
        <v>32</v>
      </c>
      <c r="B48" s="1" t="s">
        <v>33</v>
      </c>
      <c r="C48" s="1">
        <v>6</v>
      </c>
      <c r="D48" s="1">
        <v>5</v>
      </c>
      <c r="E48" s="1">
        <v>1</v>
      </c>
      <c r="F48" s="1">
        <v>345.95</v>
      </c>
      <c r="G48" s="1">
        <v>98.12</v>
      </c>
      <c r="H48" s="3">
        <v>0.16669999999999999</v>
      </c>
    </row>
    <row r="49" spans="1:8" x14ac:dyDescent="0.25">
      <c r="A49" s="1" t="s">
        <v>392</v>
      </c>
      <c r="B49" s="1" t="s">
        <v>393</v>
      </c>
      <c r="C49" s="1">
        <v>5</v>
      </c>
      <c r="D49" s="1">
        <v>0</v>
      </c>
      <c r="E49" s="1">
        <v>5</v>
      </c>
      <c r="F49" s="2">
        <v>1375.43</v>
      </c>
      <c r="G49" s="1">
        <v>267.91000000000003</v>
      </c>
      <c r="H49" s="14">
        <v>1</v>
      </c>
    </row>
    <row r="50" spans="1:8" x14ac:dyDescent="0.25">
      <c r="A50" s="1" t="s">
        <v>388</v>
      </c>
      <c r="B50" s="1" t="s">
        <v>389</v>
      </c>
      <c r="C50" s="1">
        <v>5</v>
      </c>
      <c r="D50" s="1">
        <v>0</v>
      </c>
      <c r="E50" s="1">
        <v>5</v>
      </c>
      <c r="F50" s="1">
        <v>606.54999999999995</v>
      </c>
      <c r="G50" s="1">
        <v>72.95</v>
      </c>
      <c r="H50" s="14">
        <v>1</v>
      </c>
    </row>
    <row r="51" spans="1:8" x14ac:dyDescent="0.25">
      <c r="A51" s="1" t="s">
        <v>386</v>
      </c>
      <c r="B51" s="1" t="s">
        <v>387</v>
      </c>
      <c r="C51" s="1">
        <v>5</v>
      </c>
      <c r="D51" s="1">
        <v>0</v>
      </c>
      <c r="E51" s="1">
        <v>5</v>
      </c>
      <c r="F51" s="2">
        <v>2267.41</v>
      </c>
      <c r="G51" s="1">
        <v>514.03</v>
      </c>
      <c r="H51" s="14">
        <v>1</v>
      </c>
    </row>
    <row r="52" spans="1:8" x14ac:dyDescent="0.25">
      <c r="A52" s="1" t="s">
        <v>390</v>
      </c>
      <c r="B52" s="1" t="s">
        <v>391</v>
      </c>
      <c r="C52" s="1">
        <v>5</v>
      </c>
      <c r="D52" s="1">
        <v>0</v>
      </c>
      <c r="E52" s="1">
        <v>5</v>
      </c>
      <c r="F52" s="1">
        <v>849</v>
      </c>
      <c r="G52" s="1">
        <v>117.26</v>
      </c>
      <c r="H52" s="14">
        <v>1</v>
      </c>
    </row>
    <row r="53" spans="1:8" x14ac:dyDescent="0.25">
      <c r="A53" s="1" t="s">
        <v>280</v>
      </c>
      <c r="B53" s="1" t="s">
        <v>281</v>
      </c>
      <c r="C53" s="1">
        <v>5</v>
      </c>
      <c r="D53" s="1">
        <v>2</v>
      </c>
      <c r="E53" s="1">
        <v>3</v>
      </c>
      <c r="F53" s="2">
        <v>1196.75</v>
      </c>
      <c r="G53" s="1">
        <v>232.29</v>
      </c>
      <c r="H53" s="3">
        <v>0.6</v>
      </c>
    </row>
    <row r="54" spans="1:8" x14ac:dyDescent="0.25">
      <c r="A54" s="1" t="s">
        <v>422</v>
      </c>
      <c r="B54" s="1" t="s">
        <v>423</v>
      </c>
      <c r="C54" s="1">
        <v>5</v>
      </c>
      <c r="D54" s="1">
        <v>2</v>
      </c>
      <c r="E54" s="1">
        <v>3</v>
      </c>
      <c r="F54" s="1">
        <v>369.75</v>
      </c>
      <c r="G54" s="1">
        <v>42.37</v>
      </c>
      <c r="H54" s="3">
        <v>0.6</v>
      </c>
    </row>
    <row r="55" spans="1:8" x14ac:dyDescent="0.25">
      <c r="A55" s="1" t="s">
        <v>440</v>
      </c>
      <c r="B55" s="1" t="s">
        <v>441</v>
      </c>
      <c r="C55" s="1">
        <v>5</v>
      </c>
      <c r="D55" s="1">
        <v>3</v>
      </c>
      <c r="E55" s="1">
        <v>2</v>
      </c>
      <c r="F55" s="1">
        <v>191.5</v>
      </c>
      <c r="G55" s="1">
        <v>21.97</v>
      </c>
      <c r="H55" s="3">
        <v>0.4</v>
      </c>
    </row>
    <row r="56" spans="1:8" x14ac:dyDescent="0.25">
      <c r="A56" s="1" t="s">
        <v>474</v>
      </c>
      <c r="B56" s="1" t="s">
        <v>475</v>
      </c>
      <c r="C56" s="1">
        <v>5</v>
      </c>
      <c r="D56" s="1">
        <v>3</v>
      </c>
      <c r="E56" s="1">
        <v>2</v>
      </c>
      <c r="F56" s="1">
        <v>595.41999999999996</v>
      </c>
      <c r="G56" s="1">
        <v>143.91999999999999</v>
      </c>
      <c r="H56" s="3">
        <v>0.4</v>
      </c>
    </row>
    <row r="57" spans="1:8" x14ac:dyDescent="0.25">
      <c r="A57" s="1" t="s">
        <v>208</v>
      </c>
      <c r="B57" s="1" t="s">
        <v>209</v>
      </c>
      <c r="C57" s="1">
        <v>5</v>
      </c>
      <c r="D57" s="1">
        <v>4</v>
      </c>
      <c r="E57" s="1">
        <v>1</v>
      </c>
      <c r="F57" s="1">
        <v>558.02</v>
      </c>
      <c r="G57" s="1">
        <v>191.66</v>
      </c>
      <c r="H57" s="3">
        <v>0.2</v>
      </c>
    </row>
    <row r="58" spans="1:8" x14ac:dyDescent="0.25">
      <c r="A58" s="1" t="s">
        <v>84</v>
      </c>
      <c r="B58" s="1" t="s">
        <v>85</v>
      </c>
      <c r="C58" s="1">
        <v>4</v>
      </c>
      <c r="D58" s="1">
        <v>0</v>
      </c>
      <c r="E58" s="1">
        <v>4</v>
      </c>
      <c r="F58" s="2">
        <v>1413.59</v>
      </c>
      <c r="G58" s="1">
        <v>247.64</v>
      </c>
      <c r="H58" s="14">
        <v>1</v>
      </c>
    </row>
    <row r="59" spans="1:8" x14ac:dyDescent="0.25">
      <c r="A59" s="1" t="s">
        <v>406</v>
      </c>
      <c r="B59" s="1" t="s">
        <v>407</v>
      </c>
      <c r="C59" s="1">
        <v>4</v>
      </c>
      <c r="D59" s="1">
        <v>0</v>
      </c>
      <c r="E59" s="1">
        <v>4</v>
      </c>
      <c r="F59" s="1">
        <v>489</v>
      </c>
      <c r="G59" s="1">
        <v>64.48</v>
      </c>
      <c r="H59" s="14">
        <v>1</v>
      </c>
    </row>
    <row r="60" spans="1:8" x14ac:dyDescent="0.25">
      <c r="A60" s="1" t="s">
        <v>396</v>
      </c>
      <c r="B60" s="1" t="s">
        <v>397</v>
      </c>
      <c r="C60" s="1">
        <v>4</v>
      </c>
      <c r="D60" s="1">
        <v>0</v>
      </c>
      <c r="E60" s="1">
        <v>4</v>
      </c>
      <c r="F60" s="1">
        <v>740.5</v>
      </c>
      <c r="G60" s="1">
        <v>123.18</v>
      </c>
      <c r="H60" s="14">
        <v>1</v>
      </c>
    </row>
    <row r="61" spans="1:8" x14ac:dyDescent="0.25">
      <c r="A61" s="1" t="s">
        <v>402</v>
      </c>
      <c r="B61" s="1" t="s">
        <v>403</v>
      </c>
      <c r="C61" s="1">
        <v>4</v>
      </c>
      <c r="D61" s="1">
        <v>0</v>
      </c>
      <c r="E61" s="1">
        <v>4</v>
      </c>
      <c r="F61" s="1">
        <v>283.14999999999998</v>
      </c>
      <c r="G61" s="1">
        <v>55.78</v>
      </c>
      <c r="H61" s="14">
        <v>1</v>
      </c>
    </row>
    <row r="62" spans="1:8" x14ac:dyDescent="0.25">
      <c r="A62" s="1" t="s">
        <v>404</v>
      </c>
      <c r="B62" s="1" t="s">
        <v>405</v>
      </c>
      <c r="C62" s="1">
        <v>4</v>
      </c>
      <c r="D62" s="1">
        <v>0</v>
      </c>
      <c r="E62" s="1">
        <v>4</v>
      </c>
      <c r="F62" s="1">
        <v>942.64</v>
      </c>
      <c r="G62" s="1">
        <v>206.8</v>
      </c>
      <c r="H62" s="14">
        <v>1</v>
      </c>
    </row>
    <row r="63" spans="1:8" x14ac:dyDescent="0.25">
      <c r="A63" s="1" t="s">
        <v>400</v>
      </c>
      <c r="B63" s="1" t="s">
        <v>401</v>
      </c>
      <c r="C63" s="1">
        <v>4</v>
      </c>
      <c r="D63" s="1">
        <v>0</v>
      </c>
      <c r="E63" s="1">
        <v>4</v>
      </c>
      <c r="F63" s="1">
        <v>432.21</v>
      </c>
      <c r="G63" s="1">
        <v>66.95</v>
      </c>
      <c r="H63" s="14">
        <v>1</v>
      </c>
    </row>
    <row r="64" spans="1:8" x14ac:dyDescent="0.25">
      <c r="A64" s="1" t="s">
        <v>448</v>
      </c>
      <c r="B64" s="1" t="s">
        <v>449</v>
      </c>
      <c r="C64" s="1">
        <v>4</v>
      </c>
      <c r="D64" s="1">
        <v>2</v>
      </c>
      <c r="E64" s="1">
        <v>2</v>
      </c>
      <c r="F64" s="1">
        <v>279.64</v>
      </c>
      <c r="G64" s="1">
        <v>35.75</v>
      </c>
      <c r="H64" s="3">
        <v>0.5</v>
      </c>
    </row>
    <row r="65" spans="1:8" x14ac:dyDescent="0.25">
      <c r="A65" s="1" t="s">
        <v>576</v>
      </c>
      <c r="B65" s="1" t="s">
        <v>577</v>
      </c>
      <c r="C65" s="1">
        <v>4</v>
      </c>
      <c r="D65" s="1">
        <v>3</v>
      </c>
      <c r="E65" s="1">
        <v>1</v>
      </c>
      <c r="F65" s="1">
        <v>209.95</v>
      </c>
      <c r="G65" s="1">
        <v>39.56</v>
      </c>
      <c r="H65" s="3">
        <v>0.25</v>
      </c>
    </row>
    <row r="66" spans="1:8" x14ac:dyDescent="0.25">
      <c r="A66" s="1" t="s">
        <v>316</v>
      </c>
      <c r="B66" s="1" t="s">
        <v>317</v>
      </c>
      <c r="C66" s="1">
        <v>4</v>
      </c>
      <c r="D66" s="1">
        <v>3</v>
      </c>
      <c r="E66" s="1">
        <v>1</v>
      </c>
      <c r="F66" s="1">
        <v>145</v>
      </c>
      <c r="G66" s="1">
        <v>15.39</v>
      </c>
      <c r="H66" s="3">
        <v>0.25</v>
      </c>
    </row>
    <row r="67" spans="1:8" x14ac:dyDescent="0.25">
      <c r="A67" s="1" t="s">
        <v>414</v>
      </c>
      <c r="B67" s="1" t="s">
        <v>415</v>
      </c>
      <c r="C67" s="1">
        <v>3</v>
      </c>
      <c r="D67" s="1">
        <v>0</v>
      </c>
      <c r="E67" s="1">
        <v>3</v>
      </c>
      <c r="F67" s="1">
        <v>707.2</v>
      </c>
      <c r="G67" s="1">
        <v>143.38999999999999</v>
      </c>
      <c r="H67" s="14">
        <v>1</v>
      </c>
    </row>
    <row r="68" spans="1:8" x14ac:dyDescent="0.25">
      <c r="A68" s="1" t="s">
        <v>410</v>
      </c>
      <c r="B68" s="1" t="s">
        <v>411</v>
      </c>
      <c r="C68" s="1">
        <v>3</v>
      </c>
      <c r="D68" s="1">
        <v>0</v>
      </c>
      <c r="E68" s="1">
        <v>3</v>
      </c>
      <c r="F68" s="1">
        <v>412</v>
      </c>
      <c r="G68" s="1">
        <v>55.7</v>
      </c>
      <c r="H68" s="14">
        <v>1</v>
      </c>
    </row>
    <row r="69" spans="1:8" x14ac:dyDescent="0.25">
      <c r="A69" s="1" t="s">
        <v>418</v>
      </c>
      <c r="B69" s="1" t="s">
        <v>419</v>
      </c>
      <c r="C69" s="1">
        <v>3</v>
      </c>
      <c r="D69" s="1">
        <v>0</v>
      </c>
      <c r="E69" s="1">
        <v>3</v>
      </c>
      <c r="F69" s="2">
        <v>1546.15</v>
      </c>
      <c r="G69" s="1">
        <v>367.39</v>
      </c>
      <c r="H69" s="14">
        <v>1</v>
      </c>
    </row>
    <row r="70" spans="1:8" x14ac:dyDescent="0.25">
      <c r="A70" s="1" t="s">
        <v>206</v>
      </c>
      <c r="B70" s="1" t="s">
        <v>207</v>
      </c>
      <c r="C70" s="1">
        <v>3</v>
      </c>
      <c r="D70" s="1">
        <v>0</v>
      </c>
      <c r="E70" s="1">
        <v>3</v>
      </c>
      <c r="F70" s="1">
        <v>599.54999999999995</v>
      </c>
      <c r="G70" s="1">
        <v>125.25</v>
      </c>
      <c r="H70" s="14">
        <v>1</v>
      </c>
    </row>
    <row r="71" spans="1:8" x14ac:dyDescent="0.25">
      <c r="A71" s="1" t="s">
        <v>428</v>
      </c>
      <c r="B71" s="1" t="s">
        <v>429</v>
      </c>
      <c r="C71" s="1">
        <v>3</v>
      </c>
      <c r="D71" s="1">
        <v>0</v>
      </c>
      <c r="E71" s="1">
        <v>3</v>
      </c>
      <c r="F71" s="1">
        <v>850.35</v>
      </c>
      <c r="G71" s="1">
        <v>150.36000000000001</v>
      </c>
      <c r="H71" s="14">
        <v>1</v>
      </c>
    </row>
    <row r="72" spans="1:8" x14ac:dyDescent="0.25">
      <c r="A72" s="1" t="s">
        <v>430</v>
      </c>
      <c r="B72" s="1" t="s">
        <v>431</v>
      </c>
      <c r="C72" s="1">
        <v>3</v>
      </c>
      <c r="D72" s="1">
        <v>0</v>
      </c>
      <c r="E72" s="1">
        <v>3</v>
      </c>
      <c r="F72" s="1">
        <v>943</v>
      </c>
      <c r="G72" s="1">
        <v>140.58000000000001</v>
      </c>
      <c r="H72" s="14">
        <v>1</v>
      </c>
    </row>
    <row r="73" spans="1:8" x14ac:dyDescent="0.25">
      <c r="A73" s="1" t="s">
        <v>408</v>
      </c>
      <c r="B73" s="1" t="s">
        <v>409</v>
      </c>
      <c r="C73" s="1">
        <v>3</v>
      </c>
      <c r="D73" s="1">
        <v>0</v>
      </c>
      <c r="E73" s="1">
        <v>3</v>
      </c>
      <c r="F73" s="1">
        <v>994.49</v>
      </c>
      <c r="G73" s="1">
        <v>196.79</v>
      </c>
      <c r="H73" s="14">
        <v>1</v>
      </c>
    </row>
    <row r="74" spans="1:8" x14ac:dyDescent="0.25">
      <c r="A74" s="1" t="s">
        <v>82</v>
      </c>
      <c r="B74" s="1" t="s">
        <v>83</v>
      </c>
      <c r="C74" s="1">
        <v>3</v>
      </c>
      <c r="D74" s="1">
        <v>0</v>
      </c>
      <c r="E74" s="1">
        <v>3</v>
      </c>
      <c r="F74" s="2">
        <v>2010.5</v>
      </c>
      <c r="G74" s="1">
        <v>517.36</v>
      </c>
      <c r="H74" s="14">
        <v>1</v>
      </c>
    </row>
    <row r="75" spans="1:8" x14ac:dyDescent="0.25">
      <c r="A75" s="1" t="s">
        <v>424</v>
      </c>
      <c r="B75" s="1" t="s">
        <v>425</v>
      </c>
      <c r="C75" s="1">
        <v>3</v>
      </c>
      <c r="D75" s="1">
        <v>0</v>
      </c>
      <c r="E75" s="1">
        <v>3</v>
      </c>
      <c r="F75" s="1">
        <v>260.52</v>
      </c>
      <c r="G75" s="1">
        <v>32.53</v>
      </c>
      <c r="H75" s="14">
        <v>1</v>
      </c>
    </row>
    <row r="76" spans="1:8" x14ac:dyDescent="0.25">
      <c r="A76" s="1" t="s">
        <v>432</v>
      </c>
      <c r="B76" s="1" t="s">
        <v>433</v>
      </c>
      <c r="C76" s="1">
        <v>3</v>
      </c>
      <c r="D76" s="1">
        <v>0</v>
      </c>
      <c r="E76" s="1">
        <v>3</v>
      </c>
      <c r="F76" s="1">
        <v>233.4</v>
      </c>
      <c r="G76" s="1">
        <v>50.05</v>
      </c>
      <c r="H76" s="14">
        <v>1</v>
      </c>
    </row>
    <row r="77" spans="1:8" x14ac:dyDescent="0.25">
      <c r="A77" s="1" t="s">
        <v>426</v>
      </c>
      <c r="B77" s="1" t="s">
        <v>427</v>
      </c>
      <c r="C77" s="1">
        <v>3</v>
      </c>
      <c r="D77" s="1">
        <v>0</v>
      </c>
      <c r="E77" s="1">
        <v>3</v>
      </c>
      <c r="F77" s="1">
        <v>768</v>
      </c>
      <c r="G77" s="1">
        <v>145.38</v>
      </c>
      <c r="H77" s="14">
        <v>1</v>
      </c>
    </row>
    <row r="78" spans="1:8" x14ac:dyDescent="0.25">
      <c r="A78" s="1" t="s">
        <v>274</v>
      </c>
      <c r="B78" s="1" t="s">
        <v>275</v>
      </c>
      <c r="C78" s="1">
        <v>3</v>
      </c>
      <c r="D78" s="1">
        <v>0</v>
      </c>
      <c r="E78" s="1">
        <v>3</v>
      </c>
      <c r="F78" s="1">
        <v>813.02</v>
      </c>
      <c r="G78" s="1">
        <v>121.36</v>
      </c>
      <c r="H78" s="14">
        <v>1</v>
      </c>
    </row>
    <row r="79" spans="1:8" x14ac:dyDescent="0.25">
      <c r="A79" s="1" t="s">
        <v>420</v>
      </c>
      <c r="B79" s="1" t="s">
        <v>421</v>
      </c>
      <c r="C79" s="1">
        <v>3</v>
      </c>
      <c r="D79" s="1">
        <v>0</v>
      </c>
      <c r="E79" s="1">
        <v>3</v>
      </c>
      <c r="F79" s="1">
        <v>261.32</v>
      </c>
      <c r="G79" s="1">
        <v>34.049999999999997</v>
      </c>
      <c r="H79" s="14">
        <v>1</v>
      </c>
    </row>
    <row r="80" spans="1:8" x14ac:dyDescent="0.25">
      <c r="A80" s="1" t="s">
        <v>482</v>
      </c>
      <c r="B80" s="1" t="s">
        <v>483</v>
      </c>
      <c r="C80" s="1">
        <v>3</v>
      </c>
      <c r="D80" s="1">
        <v>1</v>
      </c>
      <c r="E80" s="1">
        <v>2</v>
      </c>
      <c r="F80" s="1">
        <v>351</v>
      </c>
      <c r="G80" s="1">
        <v>56.97</v>
      </c>
      <c r="H80" s="3">
        <v>0.66669999999999996</v>
      </c>
    </row>
    <row r="81" spans="1:8" x14ac:dyDescent="0.25">
      <c r="A81" s="1" t="s">
        <v>328</v>
      </c>
      <c r="B81" s="1" t="s">
        <v>329</v>
      </c>
      <c r="C81" s="1">
        <v>3</v>
      </c>
      <c r="D81" s="1">
        <v>1</v>
      </c>
      <c r="E81" s="1">
        <v>2</v>
      </c>
      <c r="F81" s="1">
        <v>183.85</v>
      </c>
      <c r="G81" s="1">
        <v>14.23</v>
      </c>
      <c r="H81" s="3">
        <v>0.66669999999999996</v>
      </c>
    </row>
    <row r="82" spans="1:8" x14ac:dyDescent="0.25">
      <c r="A82" s="1" t="s">
        <v>456</v>
      </c>
      <c r="B82" s="1" t="s">
        <v>457</v>
      </c>
      <c r="C82" s="1">
        <v>3</v>
      </c>
      <c r="D82" s="1">
        <v>1</v>
      </c>
      <c r="E82" s="1">
        <v>2</v>
      </c>
      <c r="F82" s="1">
        <v>478.12</v>
      </c>
      <c r="G82" s="1">
        <v>97.24</v>
      </c>
      <c r="H82" s="3">
        <v>0.66669999999999996</v>
      </c>
    </row>
    <row r="83" spans="1:8" x14ac:dyDescent="0.25">
      <c r="A83" s="1" t="s">
        <v>232</v>
      </c>
      <c r="B83" s="1" t="s">
        <v>233</v>
      </c>
      <c r="C83" s="1">
        <v>3</v>
      </c>
      <c r="D83" s="1">
        <v>1</v>
      </c>
      <c r="E83" s="1">
        <v>2</v>
      </c>
      <c r="F83" s="1">
        <v>185.72</v>
      </c>
      <c r="G83" s="1">
        <v>19.350000000000001</v>
      </c>
      <c r="H83" s="3">
        <v>0.66669999999999996</v>
      </c>
    </row>
    <row r="84" spans="1:8" x14ac:dyDescent="0.25">
      <c r="A84" s="1" t="s">
        <v>70</v>
      </c>
      <c r="B84" s="1" t="s">
        <v>71</v>
      </c>
      <c r="C84" s="1">
        <v>3</v>
      </c>
      <c r="D84" s="1">
        <v>1</v>
      </c>
      <c r="E84" s="1">
        <v>2</v>
      </c>
      <c r="F84" s="1">
        <v>155.91999999999999</v>
      </c>
      <c r="G84" s="1">
        <v>8.9600000000000009</v>
      </c>
      <c r="H84" s="3">
        <v>0.66669999999999996</v>
      </c>
    </row>
    <row r="85" spans="1:8" x14ac:dyDescent="0.25">
      <c r="A85" s="1" t="s">
        <v>574</v>
      </c>
      <c r="B85" s="1" t="s">
        <v>575</v>
      </c>
      <c r="C85" s="1">
        <v>3</v>
      </c>
      <c r="D85" s="1">
        <v>2</v>
      </c>
      <c r="E85" s="1">
        <v>1</v>
      </c>
      <c r="F85" s="1">
        <v>609.02</v>
      </c>
      <c r="G85" s="1">
        <v>138.52000000000001</v>
      </c>
      <c r="H85" s="3">
        <v>0.33329999999999999</v>
      </c>
    </row>
    <row r="86" spans="1:8" x14ac:dyDescent="0.25">
      <c r="A86" s="1" t="s">
        <v>562</v>
      </c>
      <c r="B86" s="1" t="s">
        <v>563</v>
      </c>
      <c r="C86" s="1">
        <v>3</v>
      </c>
      <c r="D86" s="1">
        <v>2</v>
      </c>
      <c r="E86" s="1">
        <v>1</v>
      </c>
      <c r="F86" s="1">
        <v>144.5</v>
      </c>
      <c r="G86" s="1">
        <v>33.869999999999997</v>
      </c>
      <c r="H86" s="3">
        <v>0.33329999999999999</v>
      </c>
    </row>
    <row r="87" spans="1:8" x14ac:dyDescent="0.25">
      <c r="A87" s="1" t="s">
        <v>560</v>
      </c>
      <c r="B87" s="1" t="s">
        <v>561</v>
      </c>
      <c r="C87" s="1">
        <v>3</v>
      </c>
      <c r="D87" s="1">
        <v>2</v>
      </c>
      <c r="E87" s="1">
        <v>1</v>
      </c>
      <c r="F87" s="1">
        <v>387.17</v>
      </c>
      <c r="G87" s="1">
        <v>94.96</v>
      </c>
      <c r="H87" s="3">
        <v>0.33329999999999999</v>
      </c>
    </row>
    <row r="88" spans="1:8" x14ac:dyDescent="0.25">
      <c r="A88" s="1" t="s">
        <v>96</v>
      </c>
      <c r="B88" s="1" t="s">
        <v>97</v>
      </c>
      <c r="C88" s="1">
        <v>3</v>
      </c>
      <c r="D88" s="1">
        <v>2</v>
      </c>
      <c r="E88" s="1">
        <v>1</v>
      </c>
      <c r="F88" s="1">
        <v>129.5</v>
      </c>
      <c r="G88" s="1">
        <v>14.28</v>
      </c>
      <c r="H88" s="3">
        <v>0.33329999999999999</v>
      </c>
    </row>
    <row r="89" spans="1:8" x14ac:dyDescent="0.25">
      <c r="A89" s="1" t="s">
        <v>138</v>
      </c>
      <c r="B89" s="1" t="s">
        <v>139</v>
      </c>
      <c r="C89" s="1">
        <v>2</v>
      </c>
      <c r="D89" s="1">
        <v>0</v>
      </c>
      <c r="E89" s="1">
        <v>2</v>
      </c>
      <c r="F89" s="1">
        <v>578</v>
      </c>
      <c r="G89" s="1">
        <v>91.57</v>
      </c>
      <c r="H89" s="14">
        <v>1</v>
      </c>
    </row>
    <row r="90" spans="1:8" x14ac:dyDescent="0.25">
      <c r="A90" s="1" t="s">
        <v>476</v>
      </c>
      <c r="B90" s="1" t="s">
        <v>477</v>
      </c>
      <c r="C90" s="1">
        <v>2</v>
      </c>
      <c r="D90" s="1">
        <v>0</v>
      </c>
      <c r="E90" s="1">
        <v>2</v>
      </c>
      <c r="F90" s="1">
        <v>210.4</v>
      </c>
      <c r="G90" s="1">
        <v>27.34</v>
      </c>
      <c r="H90" s="14">
        <v>1</v>
      </c>
    </row>
    <row r="91" spans="1:8" x14ac:dyDescent="0.25">
      <c r="A91" s="1" t="s">
        <v>444</v>
      </c>
      <c r="B91" s="1" t="s">
        <v>445</v>
      </c>
      <c r="C91" s="1">
        <v>2</v>
      </c>
      <c r="D91" s="1">
        <v>0</v>
      </c>
      <c r="E91" s="1">
        <v>2</v>
      </c>
      <c r="F91" s="1">
        <v>282.47000000000003</v>
      </c>
      <c r="G91" s="1">
        <v>65.3</v>
      </c>
      <c r="H91" s="14">
        <v>1</v>
      </c>
    </row>
    <row r="92" spans="1:8" x14ac:dyDescent="0.25">
      <c r="A92" s="1" t="s">
        <v>436</v>
      </c>
      <c r="B92" s="1" t="s">
        <v>437</v>
      </c>
      <c r="C92" s="1">
        <v>2</v>
      </c>
      <c r="D92" s="1">
        <v>0</v>
      </c>
      <c r="E92" s="1">
        <v>2</v>
      </c>
      <c r="F92" s="1">
        <v>256.3</v>
      </c>
      <c r="G92" s="1">
        <v>27.8</v>
      </c>
      <c r="H92" s="14">
        <v>1</v>
      </c>
    </row>
    <row r="93" spans="1:8" x14ac:dyDescent="0.25">
      <c r="A93" s="1" t="s">
        <v>124</v>
      </c>
      <c r="B93" s="1" t="s">
        <v>125</v>
      </c>
      <c r="C93" s="1">
        <v>2</v>
      </c>
      <c r="D93" s="1">
        <v>0</v>
      </c>
      <c r="E93" s="1">
        <v>2</v>
      </c>
      <c r="F93" s="1">
        <v>263.07</v>
      </c>
      <c r="G93" s="1">
        <v>24.75</v>
      </c>
      <c r="H93" s="14">
        <v>1</v>
      </c>
    </row>
    <row r="94" spans="1:8" x14ac:dyDescent="0.25">
      <c r="A94" s="1" t="s">
        <v>450</v>
      </c>
      <c r="B94" s="1" t="s">
        <v>451</v>
      </c>
      <c r="C94" s="1">
        <v>2</v>
      </c>
      <c r="D94" s="1">
        <v>0</v>
      </c>
      <c r="E94" s="1">
        <v>2</v>
      </c>
      <c r="F94" s="1">
        <v>732.27</v>
      </c>
      <c r="G94" s="1">
        <v>222.48</v>
      </c>
      <c r="H94" s="14">
        <v>1</v>
      </c>
    </row>
    <row r="95" spans="1:8" x14ac:dyDescent="0.25">
      <c r="A95" s="1" t="s">
        <v>434</v>
      </c>
      <c r="B95" s="1" t="s">
        <v>435</v>
      </c>
      <c r="C95" s="1">
        <v>2</v>
      </c>
      <c r="D95" s="1">
        <v>0</v>
      </c>
      <c r="E95" s="1">
        <v>2</v>
      </c>
      <c r="F95" s="2">
        <v>1087.99</v>
      </c>
      <c r="G95" s="1">
        <v>317.92</v>
      </c>
      <c r="H95" s="14">
        <v>1</v>
      </c>
    </row>
    <row r="96" spans="1:8" x14ac:dyDescent="0.25">
      <c r="A96" s="1" t="s">
        <v>486</v>
      </c>
      <c r="B96" s="1" t="s">
        <v>487</v>
      </c>
      <c r="C96" s="1">
        <v>2</v>
      </c>
      <c r="D96" s="1">
        <v>0</v>
      </c>
      <c r="E96" s="1">
        <v>2</v>
      </c>
      <c r="F96" s="1">
        <v>155.12</v>
      </c>
      <c r="G96" s="1">
        <v>11.39</v>
      </c>
      <c r="H96" s="14">
        <v>1</v>
      </c>
    </row>
    <row r="97" spans="1:8" x14ac:dyDescent="0.25">
      <c r="A97" s="1" t="s">
        <v>462</v>
      </c>
      <c r="B97" s="1" t="s">
        <v>463</v>
      </c>
      <c r="C97" s="1">
        <v>2</v>
      </c>
      <c r="D97" s="1">
        <v>0</v>
      </c>
      <c r="E97" s="1">
        <v>2</v>
      </c>
      <c r="F97" s="1">
        <v>322.99</v>
      </c>
      <c r="G97" s="1">
        <v>41.07</v>
      </c>
      <c r="H97" s="14">
        <v>1</v>
      </c>
    </row>
    <row r="98" spans="1:8" x14ac:dyDescent="0.25">
      <c r="A98" s="1" t="s">
        <v>438</v>
      </c>
      <c r="B98" s="1" t="s">
        <v>439</v>
      </c>
      <c r="C98" s="1">
        <v>2</v>
      </c>
      <c r="D98" s="1">
        <v>0</v>
      </c>
      <c r="E98" s="1">
        <v>2</v>
      </c>
      <c r="F98" s="1">
        <v>277.94</v>
      </c>
      <c r="G98" s="1">
        <v>48.31</v>
      </c>
      <c r="H98" s="14">
        <v>1</v>
      </c>
    </row>
    <row r="99" spans="1:8" x14ac:dyDescent="0.25">
      <c r="A99" s="1" t="s">
        <v>484</v>
      </c>
      <c r="B99" s="1" t="s">
        <v>485</v>
      </c>
      <c r="C99" s="1">
        <v>2</v>
      </c>
      <c r="D99" s="1">
        <v>0</v>
      </c>
      <c r="E99" s="1">
        <v>2</v>
      </c>
      <c r="F99" s="1">
        <v>240.5</v>
      </c>
      <c r="G99" s="1">
        <v>37.46</v>
      </c>
      <c r="H99" s="14">
        <v>1</v>
      </c>
    </row>
    <row r="100" spans="1:8" x14ac:dyDescent="0.25">
      <c r="A100" s="1" t="s">
        <v>488</v>
      </c>
      <c r="B100" s="1" t="s">
        <v>489</v>
      </c>
      <c r="C100" s="1">
        <v>2</v>
      </c>
      <c r="D100" s="1">
        <v>0</v>
      </c>
      <c r="E100" s="1">
        <v>2</v>
      </c>
      <c r="F100" s="1">
        <v>152.15</v>
      </c>
      <c r="G100" s="1">
        <v>11.46</v>
      </c>
      <c r="H100" s="14">
        <v>1</v>
      </c>
    </row>
    <row r="101" spans="1:8" x14ac:dyDescent="0.25">
      <c r="A101" s="1" t="s">
        <v>468</v>
      </c>
      <c r="B101" s="1" t="s">
        <v>469</v>
      </c>
      <c r="C101" s="1">
        <v>2</v>
      </c>
      <c r="D101" s="1">
        <v>0</v>
      </c>
      <c r="E101" s="1">
        <v>2</v>
      </c>
      <c r="F101" s="1">
        <v>232.05</v>
      </c>
      <c r="G101" s="1">
        <v>29.99</v>
      </c>
      <c r="H101" s="14">
        <v>1</v>
      </c>
    </row>
    <row r="102" spans="1:8" x14ac:dyDescent="0.25">
      <c r="A102" s="1" t="s">
        <v>470</v>
      </c>
      <c r="B102" s="1" t="s">
        <v>471</v>
      </c>
      <c r="C102" s="1">
        <v>2</v>
      </c>
      <c r="D102" s="1">
        <v>0</v>
      </c>
      <c r="E102" s="1">
        <v>2</v>
      </c>
      <c r="F102" s="1">
        <v>299.97000000000003</v>
      </c>
      <c r="G102" s="1">
        <v>44.95</v>
      </c>
      <c r="H102" s="14">
        <v>1</v>
      </c>
    </row>
    <row r="103" spans="1:8" x14ac:dyDescent="0.25">
      <c r="A103" s="1" t="s">
        <v>472</v>
      </c>
      <c r="B103" s="1" t="s">
        <v>473</v>
      </c>
      <c r="C103" s="1">
        <v>2</v>
      </c>
      <c r="D103" s="1">
        <v>0</v>
      </c>
      <c r="E103" s="1">
        <v>2</v>
      </c>
      <c r="F103" s="1">
        <v>977.07</v>
      </c>
      <c r="G103" s="1">
        <v>236.86</v>
      </c>
      <c r="H103" s="14">
        <v>1</v>
      </c>
    </row>
    <row r="104" spans="1:8" x14ac:dyDescent="0.25">
      <c r="A104" s="1" t="s">
        <v>454</v>
      </c>
      <c r="B104" s="1" t="s">
        <v>455</v>
      </c>
      <c r="C104" s="1">
        <v>2</v>
      </c>
      <c r="D104" s="1">
        <v>0</v>
      </c>
      <c r="E104" s="1">
        <v>2</v>
      </c>
      <c r="F104" s="1">
        <v>329.37</v>
      </c>
      <c r="G104" s="1">
        <v>48.33</v>
      </c>
      <c r="H104" s="14">
        <v>1</v>
      </c>
    </row>
    <row r="105" spans="1:8" x14ac:dyDescent="0.25">
      <c r="A105" s="1" t="s">
        <v>296</v>
      </c>
      <c r="B105" s="1" t="s">
        <v>297</v>
      </c>
      <c r="C105" s="1">
        <v>2</v>
      </c>
      <c r="D105" s="1">
        <v>0</v>
      </c>
      <c r="E105" s="1">
        <v>2</v>
      </c>
      <c r="F105" s="1">
        <v>334.89</v>
      </c>
      <c r="G105" s="1">
        <v>68.150000000000006</v>
      </c>
      <c r="H105" s="14">
        <v>1</v>
      </c>
    </row>
    <row r="106" spans="1:8" x14ac:dyDescent="0.25">
      <c r="A106" s="1" t="s">
        <v>466</v>
      </c>
      <c r="B106" s="1" t="s">
        <v>467</v>
      </c>
      <c r="C106" s="1">
        <v>2</v>
      </c>
      <c r="D106" s="1">
        <v>0</v>
      </c>
      <c r="E106" s="1">
        <v>2</v>
      </c>
      <c r="F106" s="1">
        <v>213.15</v>
      </c>
      <c r="G106" s="1">
        <v>24.98</v>
      </c>
      <c r="H106" s="14">
        <v>1</v>
      </c>
    </row>
    <row r="107" spans="1:8" x14ac:dyDescent="0.25">
      <c r="A107" s="1" t="s">
        <v>464</v>
      </c>
      <c r="B107" s="1" t="s">
        <v>465</v>
      </c>
      <c r="C107" s="1">
        <v>2</v>
      </c>
      <c r="D107" s="1">
        <v>0</v>
      </c>
      <c r="E107" s="1">
        <v>2</v>
      </c>
      <c r="F107" s="1">
        <v>100.72</v>
      </c>
      <c r="G107" s="1">
        <v>8.3000000000000007</v>
      </c>
      <c r="H107" s="14">
        <v>1</v>
      </c>
    </row>
    <row r="108" spans="1:8" x14ac:dyDescent="0.25">
      <c r="A108" s="1" t="s">
        <v>458</v>
      </c>
      <c r="B108" s="1" t="s">
        <v>459</v>
      </c>
      <c r="C108" s="1">
        <v>2</v>
      </c>
      <c r="D108" s="1">
        <v>0</v>
      </c>
      <c r="E108" s="1">
        <v>2</v>
      </c>
      <c r="F108" s="1">
        <v>383.34</v>
      </c>
      <c r="G108" s="1">
        <v>77.180000000000007</v>
      </c>
      <c r="H108" s="14">
        <v>1</v>
      </c>
    </row>
    <row r="109" spans="1:8" x14ac:dyDescent="0.25">
      <c r="A109" s="1" t="s">
        <v>460</v>
      </c>
      <c r="B109" s="1" t="s">
        <v>461</v>
      </c>
      <c r="C109" s="1">
        <v>2</v>
      </c>
      <c r="D109" s="1">
        <v>0</v>
      </c>
      <c r="E109" s="1">
        <v>2</v>
      </c>
      <c r="F109" s="1">
        <v>342.54</v>
      </c>
      <c r="G109" s="1">
        <v>29.3</v>
      </c>
      <c r="H109" s="14">
        <v>1</v>
      </c>
    </row>
    <row r="110" spans="1:8" x14ac:dyDescent="0.25">
      <c r="A110" s="1" t="s">
        <v>480</v>
      </c>
      <c r="B110" s="1" t="s">
        <v>481</v>
      </c>
      <c r="C110" s="1">
        <v>2</v>
      </c>
      <c r="D110" s="1">
        <v>0</v>
      </c>
      <c r="E110" s="1">
        <v>2</v>
      </c>
      <c r="F110" s="1">
        <v>308.12</v>
      </c>
      <c r="G110" s="1">
        <v>42.09</v>
      </c>
      <c r="H110" s="14">
        <v>1</v>
      </c>
    </row>
    <row r="111" spans="1:8" x14ac:dyDescent="0.25">
      <c r="A111" s="1" t="s">
        <v>478</v>
      </c>
      <c r="B111" s="1" t="s">
        <v>479</v>
      </c>
      <c r="C111" s="1">
        <v>2</v>
      </c>
      <c r="D111" s="1">
        <v>0</v>
      </c>
      <c r="E111" s="1">
        <v>2</v>
      </c>
      <c r="F111" s="1">
        <v>175.5</v>
      </c>
      <c r="G111" s="1">
        <v>9.76</v>
      </c>
      <c r="H111" s="14">
        <v>1</v>
      </c>
    </row>
    <row r="112" spans="1:8" x14ac:dyDescent="0.25">
      <c r="A112" s="1" t="s">
        <v>446</v>
      </c>
      <c r="B112" s="1" t="s">
        <v>447</v>
      </c>
      <c r="C112" s="1">
        <v>2</v>
      </c>
      <c r="D112" s="1">
        <v>0</v>
      </c>
      <c r="E112" s="1">
        <v>2</v>
      </c>
      <c r="F112" s="1">
        <v>471.32</v>
      </c>
      <c r="G112" s="1">
        <v>88.75</v>
      </c>
      <c r="H112" s="14">
        <v>1</v>
      </c>
    </row>
    <row r="113" spans="1:8" x14ac:dyDescent="0.25">
      <c r="A113" s="1" t="s">
        <v>442</v>
      </c>
      <c r="B113" s="1" t="s">
        <v>443</v>
      </c>
      <c r="C113" s="1">
        <v>2</v>
      </c>
      <c r="D113" s="1">
        <v>0</v>
      </c>
      <c r="E113" s="1">
        <v>2</v>
      </c>
      <c r="F113" s="1">
        <v>221.15</v>
      </c>
      <c r="G113" s="1">
        <v>21.26</v>
      </c>
      <c r="H113" s="14">
        <v>1</v>
      </c>
    </row>
    <row r="114" spans="1:8" x14ac:dyDescent="0.25">
      <c r="A114" s="1" t="s">
        <v>452</v>
      </c>
      <c r="B114" s="1" t="s">
        <v>453</v>
      </c>
      <c r="C114" s="1">
        <v>2</v>
      </c>
      <c r="D114" s="1">
        <v>0</v>
      </c>
      <c r="E114" s="1">
        <v>2</v>
      </c>
      <c r="F114" s="2">
        <v>1336.62</v>
      </c>
      <c r="G114" s="1">
        <v>296</v>
      </c>
      <c r="H114" s="14">
        <v>1</v>
      </c>
    </row>
    <row r="115" spans="1:8" x14ac:dyDescent="0.25">
      <c r="A115" s="1" t="s">
        <v>508</v>
      </c>
      <c r="B115" s="1" t="s">
        <v>509</v>
      </c>
      <c r="C115" s="1">
        <v>2</v>
      </c>
      <c r="D115" s="1">
        <v>1</v>
      </c>
      <c r="E115" s="1">
        <v>1</v>
      </c>
      <c r="F115" s="1">
        <v>95</v>
      </c>
      <c r="G115" s="1">
        <v>10.119999999999999</v>
      </c>
      <c r="H115" s="3">
        <v>0.5</v>
      </c>
    </row>
    <row r="116" spans="1:8" x14ac:dyDescent="0.25">
      <c r="A116" s="1" t="s">
        <v>506</v>
      </c>
      <c r="B116" s="1" t="s">
        <v>507</v>
      </c>
      <c r="C116" s="1">
        <v>2</v>
      </c>
      <c r="D116" s="1">
        <v>1</v>
      </c>
      <c r="E116" s="1">
        <v>1</v>
      </c>
      <c r="F116" s="1">
        <v>87.12</v>
      </c>
      <c r="G116" s="1">
        <v>6.98</v>
      </c>
      <c r="H116" s="3">
        <v>0.5</v>
      </c>
    </row>
    <row r="117" spans="1:8" x14ac:dyDescent="0.25">
      <c r="A117" s="1" t="s">
        <v>292</v>
      </c>
      <c r="B117" s="1" t="s">
        <v>293</v>
      </c>
      <c r="C117" s="1">
        <v>2</v>
      </c>
      <c r="D117" s="1">
        <v>1</v>
      </c>
      <c r="E117" s="1">
        <v>1</v>
      </c>
      <c r="F117" s="1">
        <v>156.82</v>
      </c>
      <c r="G117" s="1">
        <v>40.32</v>
      </c>
      <c r="H117" s="3">
        <v>0.5</v>
      </c>
    </row>
    <row r="118" spans="1:8" x14ac:dyDescent="0.25">
      <c r="A118" s="1" t="s">
        <v>290</v>
      </c>
      <c r="B118" s="1" t="s">
        <v>291</v>
      </c>
      <c r="C118" s="1">
        <v>2</v>
      </c>
      <c r="D118" s="1">
        <v>1</v>
      </c>
      <c r="E118" s="1">
        <v>1</v>
      </c>
      <c r="F118" s="1">
        <v>254.57</v>
      </c>
      <c r="G118" s="1">
        <v>33.130000000000003</v>
      </c>
      <c r="H118" s="3">
        <v>0.5</v>
      </c>
    </row>
    <row r="119" spans="1:8" x14ac:dyDescent="0.25">
      <c r="A119" s="1" t="s">
        <v>140</v>
      </c>
      <c r="B119" s="1" t="s">
        <v>141</v>
      </c>
      <c r="C119" s="1">
        <v>2</v>
      </c>
      <c r="D119" s="1">
        <v>1</v>
      </c>
      <c r="E119" s="1">
        <v>1</v>
      </c>
      <c r="F119" s="1">
        <v>93.07</v>
      </c>
      <c r="G119" s="1">
        <v>7.54</v>
      </c>
      <c r="H119" s="3">
        <v>0.5</v>
      </c>
    </row>
    <row r="120" spans="1:8" x14ac:dyDescent="0.25">
      <c r="A120" s="1" t="s">
        <v>554</v>
      </c>
      <c r="B120" s="1" t="s">
        <v>555</v>
      </c>
      <c r="C120" s="1">
        <v>2</v>
      </c>
      <c r="D120" s="1">
        <v>1</v>
      </c>
      <c r="E120" s="1">
        <v>1</v>
      </c>
      <c r="F120" s="1">
        <v>64.17</v>
      </c>
      <c r="G120" s="1">
        <v>2.27</v>
      </c>
      <c r="H120" s="3">
        <v>0.5</v>
      </c>
    </row>
    <row r="121" spans="1:8" x14ac:dyDescent="0.25">
      <c r="A121" s="1" t="s">
        <v>552</v>
      </c>
      <c r="B121" s="1" t="s">
        <v>553</v>
      </c>
      <c r="C121" s="1">
        <v>2</v>
      </c>
      <c r="D121" s="1">
        <v>1</v>
      </c>
      <c r="E121" s="1">
        <v>1</v>
      </c>
      <c r="F121" s="1">
        <v>62.47</v>
      </c>
      <c r="G121" s="1">
        <v>1.37</v>
      </c>
      <c r="H121" s="3">
        <v>0.5</v>
      </c>
    </row>
    <row r="122" spans="1:8" x14ac:dyDescent="0.25">
      <c r="A122" s="1" t="s">
        <v>584</v>
      </c>
      <c r="B122" s="1" t="s">
        <v>585</v>
      </c>
      <c r="C122" s="1">
        <v>2</v>
      </c>
      <c r="D122" s="1">
        <v>1</v>
      </c>
      <c r="E122" s="1">
        <v>1</v>
      </c>
      <c r="F122" s="1">
        <v>542.29999999999995</v>
      </c>
      <c r="G122" s="1">
        <v>139.41</v>
      </c>
      <c r="H122" s="3">
        <v>0.5</v>
      </c>
    </row>
    <row r="123" spans="1:8" x14ac:dyDescent="0.25">
      <c r="A123" s="1" t="s">
        <v>502</v>
      </c>
      <c r="B123" s="1" t="s">
        <v>503</v>
      </c>
      <c r="C123" s="1">
        <v>2</v>
      </c>
      <c r="D123" s="1">
        <v>1</v>
      </c>
      <c r="E123" s="1">
        <v>1</v>
      </c>
      <c r="F123" s="1">
        <v>110.92</v>
      </c>
      <c r="G123" s="1">
        <v>12.11</v>
      </c>
      <c r="H123" s="3">
        <v>0.5</v>
      </c>
    </row>
    <row r="124" spans="1:8" x14ac:dyDescent="0.25">
      <c r="A124" s="1" t="s">
        <v>94</v>
      </c>
      <c r="B124" s="1" t="s">
        <v>95</v>
      </c>
      <c r="C124" s="1">
        <v>2</v>
      </c>
      <c r="D124" s="1">
        <v>1</v>
      </c>
      <c r="E124" s="1">
        <v>1</v>
      </c>
      <c r="F124" s="1">
        <v>215.5</v>
      </c>
      <c r="G124" s="1">
        <v>43.34</v>
      </c>
      <c r="H124" s="3">
        <v>0.5</v>
      </c>
    </row>
    <row r="125" spans="1:8" x14ac:dyDescent="0.25">
      <c r="A125" s="1" t="s">
        <v>500</v>
      </c>
      <c r="B125" s="1" t="s">
        <v>501</v>
      </c>
      <c r="C125" s="1">
        <v>2</v>
      </c>
      <c r="D125" s="1">
        <v>1</v>
      </c>
      <c r="E125" s="1">
        <v>1</v>
      </c>
      <c r="F125" s="1">
        <v>170</v>
      </c>
      <c r="G125" s="1">
        <v>27.39</v>
      </c>
      <c r="H125" s="3">
        <v>0.5</v>
      </c>
    </row>
    <row r="126" spans="1:8" x14ac:dyDescent="0.25">
      <c r="A126" s="1" t="s">
        <v>598</v>
      </c>
      <c r="B126" s="1" t="s">
        <v>599</v>
      </c>
      <c r="C126" s="1">
        <v>2</v>
      </c>
      <c r="D126" s="1">
        <v>1</v>
      </c>
      <c r="E126" s="1">
        <v>1</v>
      </c>
      <c r="F126" s="1">
        <v>884.8</v>
      </c>
      <c r="G126" s="1">
        <v>212.82</v>
      </c>
      <c r="H126" s="3">
        <v>0.5</v>
      </c>
    </row>
    <row r="127" spans="1:8" x14ac:dyDescent="0.25">
      <c r="A127" s="1" t="s">
        <v>536</v>
      </c>
      <c r="B127" s="1" t="s">
        <v>537</v>
      </c>
      <c r="C127" s="1">
        <v>2</v>
      </c>
      <c r="D127" s="1">
        <v>1</v>
      </c>
      <c r="E127" s="1">
        <v>1</v>
      </c>
      <c r="F127" s="2">
        <v>1393.5</v>
      </c>
      <c r="G127" s="1">
        <v>411.5</v>
      </c>
      <c r="H127" s="3">
        <v>0.5</v>
      </c>
    </row>
    <row r="128" spans="1:8" x14ac:dyDescent="0.25">
      <c r="A128" s="1" t="s">
        <v>514</v>
      </c>
      <c r="B128" s="1" t="s">
        <v>515</v>
      </c>
      <c r="C128" s="1">
        <v>1</v>
      </c>
      <c r="D128" s="1">
        <v>0</v>
      </c>
      <c r="E128" s="1">
        <v>1</v>
      </c>
      <c r="F128" s="1">
        <v>110.92</v>
      </c>
      <c r="G128" s="1">
        <v>10.11</v>
      </c>
      <c r="H128" s="14">
        <v>1</v>
      </c>
    </row>
    <row r="129" spans="1:8" x14ac:dyDescent="0.25">
      <c r="A129" s="1" t="s">
        <v>512</v>
      </c>
      <c r="B129" s="1" t="s">
        <v>513</v>
      </c>
      <c r="C129" s="1">
        <v>1</v>
      </c>
      <c r="D129" s="1">
        <v>0</v>
      </c>
      <c r="E129" s="1">
        <v>1</v>
      </c>
      <c r="F129" s="1">
        <v>104.55</v>
      </c>
      <c r="G129" s="1">
        <v>22.04</v>
      </c>
      <c r="H129" s="14">
        <v>1</v>
      </c>
    </row>
    <row r="130" spans="1:8" x14ac:dyDescent="0.25">
      <c r="A130" s="1" t="s">
        <v>558</v>
      </c>
      <c r="B130" s="1" t="s">
        <v>559</v>
      </c>
      <c r="C130" s="1">
        <v>1</v>
      </c>
      <c r="D130" s="1">
        <v>0</v>
      </c>
      <c r="E130" s="1">
        <v>1</v>
      </c>
      <c r="F130" s="1">
        <v>106.25</v>
      </c>
      <c r="G130" s="1">
        <v>5.68</v>
      </c>
      <c r="H130" s="14">
        <v>1</v>
      </c>
    </row>
    <row r="131" spans="1:8" x14ac:dyDescent="0.25">
      <c r="A131" s="1" t="s">
        <v>556</v>
      </c>
      <c r="B131" s="1" t="s">
        <v>557</v>
      </c>
      <c r="C131" s="1">
        <v>1</v>
      </c>
      <c r="D131" s="1">
        <v>0</v>
      </c>
      <c r="E131" s="1">
        <v>1</v>
      </c>
      <c r="F131" s="1">
        <v>544.41999999999996</v>
      </c>
      <c r="G131" s="1">
        <v>108.76</v>
      </c>
      <c r="H131" s="14">
        <v>1</v>
      </c>
    </row>
    <row r="132" spans="1:8" x14ac:dyDescent="0.25">
      <c r="A132" s="1" t="s">
        <v>148</v>
      </c>
      <c r="B132" s="1" t="s">
        <v>149</v>
      </c>
      <c r="C132" s="1">
        <v>1</v>
      </c>
      <c r="D132" s="1">
        <v>0</v>
      </c>
      <c r="E132" s="1">
        <v>1</v>
      </c>
      <c r="F132" s="1">
        <v>321.3</v>
      </c>
      <c r="G132" s="1">
        <v>66.400000000000006</v>
      </c>
      <c r="H132" s="14">
        <v>1</v>
      </c>
    </row>
    <row r="133" spans="1:8" x14ac:dyDescent="0.25">
      <c r="A133" s="1" t="s">
        <v>550</v>
      </c>
      <c r="B133" s="1" t="s">
        <v>551</v>
      </c>
      <c r="C133" s="1">
        <v>1</v>
      </c>
      <c r="D133" s="1">
        <v>0</v>
      </c>
      <c r="E133" s="1">
        <v>1</v>
      </c>
      <c r="F133" s="1">
        <v>220</v>
      </c>
      <c r="G133" s="1">
        <v>47.63</v>
      </c>
      <c r="H133" s="14">
        <v>1</v>
      </c>
    </row>
    <row r="134" spans="1:8" x14ac:dyDescent="0.25">
      <c r="A134" s="1" t="s">
        <v>190</v>
      </c>
      <c r="B134" s="1" t="s">
        <v>191</v>
      </c>
      <c r="C134" s="1">
        <v>1</v>
      </c>
      <c r="D134" s="1">
        <v>0</v>
      </c>
      <c r="E134" s="1">
        <v>1</v>
      </c>
      <c r="F134" s="1">
        <v>127.5</v>
      </c>
      <c r="G134" s="1">
        <v>12.89</v>
      </c>
      <c r="H134" s="14">
        <v>1</v>
      </c>
    </row>
    <row r="135" spans="1:8" x14ac:dyDescent="0.25">
      <c r="A135" s="1" t="s">
        <v>578</v>
      </c>
      <c r="B135" s="1" t="s">
        <v>579</v>
      </c>
      <c r="C135" s="1">
        <v>1</v>
      </c>
      <c r="D135" s="1">
        <v>0</v>
      </c>
      <c r="E135" s="1">
        <v>1</v>
      </c>
      <c r="F135" s="1">
        <v>90.1</v>
      </c>
      <c r="G135" s="1">
        <v>5.15</v>
      </c>
      <c r="H135" s="14">
        <v>1</v>
      </c>
    </row>
    <row r="136" spans="1:8" x14ac:dyDescent="0.25">
      <c r="A136" s="1" t="s">
        <v>566</v>
      </c>
      <c r="B136" s="1" t="s">
        <v>567</v>
      </c>
      <c r="C136" s="1">
        <v>1</v>
      </c>
      <c r="D136" s="1">
        <v>0</v>
      </c>
      <c r="E136" s="1">
        <v>1</v>
      </c>
      <c r="F136" s="1">
        <v>90</v>
      </c>
      <c r="G136" s="1">
        <v>15.58</v>
      </c>
      <c r="H136" s="14">
        <v>1</v>
      </c>
    </row>
    <row r="137" spans="1:8" x14ac:dyDescent="0.25">
      <c r="A137" s="1" t="s">
        <v>564</v>
      </c>
      <c r="B137" s="1" t="s">
        <v>565</v>
      </c>
      <c r="C137" s="1">
        <v>1</v>
      </c>
      <c r="D137" s="1">
        <v>0</v>
      </c>
      <c r="E137" s="1">
        <v>1</v>
      </c>
      <c r="F137" s="1">
        <v>124.95</v>
      </c>
      <c r="G137" s="1">
        <v>10.7</v>
      </c>
      <c r="H137" s="14">
        <v>1</v>
      </c>
    </row>
    <row r="138" spans="1:8" x14ac:dyDescent="0.25">
      <c r="A138" s="1" t="s">
        <v>568</v>
      </c>
      <c r="B138" s="1" t="s">
        <v>569</v>
      </c>
      <c r="C138" s="1">
        <v>1</v>
      </c>
      <c r="D138" s="1">
        <v>0</v>
      </c>
      <c r="E138" s="1">
        <v>1</v>
      </c>
      <c r="F138" s="1">
        <v>144.07</v>
      </c>
      <c r="G138" s="1">
        <v>33.020000000000003</v>
      </c>
      <c r="H138" s="14">
        <v>1</v>
      </c>
    </row>
    <row r="139" spans="1:8" x14ac:dyDescent="0.25">
      <c r="A139" s="1" t="s">
        <v>570</v>
      </c>
      <c r="B139" s="1" t="s">
        <v>571</v>
      </c>
      <c r="C139" s="1">
        <v>1</v>
      </c>
      <c r="D139" s="1">
        <v>0</v>
      </c>
      <c r="E139" s="1">
        <v>1</v>
      </c>
      <c r="F139" s="1">
        <v>89.67</v>
      </c>
      <c r="G139" s="1">
        <v>5.24</v>
      </c>
      <c r="H139" s="14">
        <v>1</v>
      </c>
    </row>
    <row r="140" spans="1:8" x14ac:dyDescent="0.25">
      <c r="A140" s="1" t="s">
        <v>580</v>
      </c>
      <c r="B140" s="1" t="s">
        <v>581</v>
      </c>
      <c r="C140" s="1">
        <v>1</v>
      </c>
      <c r="D140" s="1">
        <v>0</v>
      </c>
      <c r="E140" s="1">
        <v>1</v>
      </c>
      <c r="F140" s="1">
        <v>209.52</v>
      </c>
      <c r="G140" s="1">
        <v>34.32</v>
      </c>
      <c r="H140" s="14">
        <v>1</v>
      </c>
    </row>
    <row r="141" spans="1:8" x14ac:dyDescent="0.25">
      <c r="A141" s="1" t="s">
        <v>572</v>
      </c>
      <c r="B141" s="1" t="s">
        <v>573</v>
      </c>
      <c r="C141" s="1">
        <v>1</v>
      </c>
      <c r="D141" s="1">
        <v>0</v>
      </c>
      <c r="E141" s="1">
        <v>1</v>
      </c>
      <c r="F141" s="1">
        <v>255</v>
      </c>
      <c r="G141" s="1">
        <v>43.33</v>
      </c>
      <c r="H141" s="14">
        <v>1</v>
      </c>
    </row>
    <row r="142" spans="1:8" x14ac:dyDescent="0.25">
      <c r="A142" s="1" t="s">
        <v>548</v>
      </c>
      <c r="B142" s="1" t="s">
        <v>549</v>
      </c>
      <c r="C142" s="1">
        <v>1</v>
      </c>
      <c r="D142" s="1">
        <v>0</v>
      </c>
      <c r="E142" s="1">
        <v>1</v>
      </c>
      <c r="F142" s="1">
        <v>206.12</v>
      </c>
      <c r="G142" s="1">
        <v>34.51</v>
      </c>
      <c r="H142" s="14">
        <v>1</v>
      </c>
    </row>
    <row r="143" spans="1:8" x14ac:dyDescent="0.25">
      <c r="A143" s="1" t="s">
        <v>600</v>
      </c>
      <c r="B143" s="1" t="s">
        <v>601</v>
      </c>
      <c r="C143" s="1">
        <v>1</v>
      </c>
      <c r="D143" s="1">
        <v>0</v>
      </c>
      <c r="E143" s="1">
        <v>1</v>
      </c>
      <c r="F143" s="1">
        <v>83.72</v>
      </c>
      <c r="G143" s="1">
        <v>5.45</v>
      </c>
      <c r="H143" s="14">
        <v>1</v>
      </c>
    </row>
    <row r="144" spans="1:8" x14ac:dyDescent="0.25">
      <c r="A144" s="1" t="s">
        <v>588</v>
      </c>
      <c r="B144" s="1" t="s">
        <v>589</v>
      </c>
      <c r="C144" s="1">
        <v>1</v>
      </c>
      <c r="D144" s="1">
        <v>0</v>
      </c>
      <c r="E144" s="1">
        <v>1</v>
      </c>
      <c r="F144" s="1">
        <v>186.57</v>
      </c>
      <c r="G144" s="1">
        <v>20.89</v>
      </c>
      <c r="H144" s="14">
        <v>1</v>
      </c>
    </row>
    <row r="145" spans="1:8" x14ac:dyDescent="0.25">
      <c r="A145" s="1" t="s">
        <v>590</v>
      </c>
      <c r="B145" s="1" t="s">
        <v>591</v>
      </c>
      <c r="C145" s="1">
        <v>1</v>
      </c>
      <c r="D145" s="1">
        <v>0</v>
      </c>
      <c r="E145" s="1">
        <v>1</v>
      </c>
      <c r="F145" s="1">
        <v>305.57</v>
      </c>
      <c r="G145" s="1">
        <v>58.76</v>
      </c>
      <c r="H145" s="14">
        <v>1</v>
      </c>
    </row>
    <row r="146" spans="1:8" x14ac:dyDescent="0.25">
      <c r="A146" s="1" t="s">
        <v>586</v>
      </c>
      <c r="B146" s="1" t="s">
        <v>587</v>
      </c>
      <c r="C146" s="1">
        <v>1</v>
      </c>
      <c r="D146" s="1">
        <v>0</v>
      </c>
      <c r="E146" s="1">
        <v>1</v>
      </c>
      <c r="F146" s="1">
        <v>110.92</v>
      </c>
      <c r="G146" s="1">
        <v>7.06</v>
      </c>
      <c r="H146" s="14">
        <v>1</v>
      </c>
    </row>
    <row r="147" spans="1:8" x14ac:dyDescent="0.25">
      <c r="A147" s="1" t="s">
        <v>592</v>
      </c>
      <c r="B147" s="1" t="s">
        <v>593</v>
      </c>
      <c r="C147" s="1">
        <v>1</v>
      </c>
      <c r="D147" s="1">
        <v>0</v>
      </c>
      <c r="E147" s="1">
        <v>1</v>
      </c>
      <c r="F147" s="1">
        <v>204.42</v>
      </c>
      <c r="G147" s="1">
        <v>39.28</v>
      </c>
      <c r="H147" s="14">
        <v>1</v>
      </c>
    </row>
    <row r="148" spans="1:8" x14ac:dyDescent="0.25">
      <c r="A148" s="1" t="s">
        <v>594</v>
      </c>
      <c r="B148" s="1" t="s">
        <v>595</v>
      </c>
      <c r="C148" s="1">
        <v>1</v>
      </c>
      <c r="D148" s="1">
        <v>0</v>
      </c>
      <c r="E148" s="1">
        <v>1</v>
      </c>
      <c r="F148" s="1">
        <v>121.12</v>
      </c>
      <c r="G148" s="1">
        <v>13.5</v>
      </c>
      <c r="H148" s="14">
        <v>1</v>
      </c>
    </row>
    <row r="149" spans="1:8" x14ac:dyDescent="0.25">
      <c r="A149" s="1" t="s">
        <v>582</v>
      </c>
      <c r="B149" s="1" t="s">
        <v>583</v>
      </c>
      <c r="C149" s="1">
        <v>1</v>
      </c>
      <c r="D149" s="1">
        <v>0</v>
      </c>
      <c r="E149" s="1">
        <v>1</v>
      </c>
      <c r="F149" s="1">
        <v>129</v>
      </c>
      <c r="G149" s="1">
        <v>13.1</v>
      </c>
      <c r="H149" s="14">
        <v>1</v>
      </c>
    </row>
    <row r="150" spans="1:8" x14ac:dyDescent="0.25">
      <c r="A150" s="1" t="s">
        <v>496</v>
      </c>
      <c r="B150" s="1" t="s">
        <v>497</v>
      </c>
      <c r="C150" s="1">
        <v>1</v>
      </c>
      <c r="D150" s="1">
        <v>0</v>
      </c>
      <c r="E150" s="1">
        <v>1</v>
      </c>
      <c r="F150" s="1">
        <v>274.55</v>
      </c>
      <c r="G150" s="1">
        <v>34.54</v>
      </c>
      <c r="H150" s="14">
        <v>1</v>
      </c>
    </row>
    <row r="151" spans="1:8" x14ac:dyDescent="0.25">
      <c r="A151" s="1" t="s">
        <v>492</v>
      </c>
      <c r="B151" s="1" t="s">
        <v>493</v>
      </c>
      <c r="C151" s="1">
        <v>1</v>
      </c>
      <c r="D151" s="1">
        <v>0</v>
      </c>
      <c r="E151" s="1">
        <v>1</v>
      </c>
      <c r="F151" s="1">
        <v>108.37</v>
      </c>
      <c r="G151" s="1">
        <v>5.26</v>
      </c>
      <c r="H151" s="14">
        <v>1</v>
      </c>
    </row>
    <row r="152" spans="1:8" x14ac:dyDescent="0.25">
      <c r="A152" s="1" t="s">
        <v>260</v>
      </c>
      <c r="B152" s="1" t="s">
        <v>261</v>
      </c>
      <c r="C152" s="1">
        <v>1</v>
      </c>
      <c r="D152" s="1">
        <v>0</v>
      </c>
      <c r="E152" s="1">
        <v>1</v>
      </c>
      <c r="F152" s="1">
        <v>147.9</v>
      </c>
      <c r="G152" s="1">
        <v>19.79</v>
      </c>
      <c r="H152" s="14">
        <v>1</v>
      </c>
    </row>
    <row r="153" spans="1:8" x14ac:dyDescent="0.25">
      <c r="A153" s="1" t="s">
        <v>490</v>
      </c>
      <c r="B153" s="1" t="s">
        <v>491</v>
      </c>
      <c r="C153" s="1">
        <v>1</v>
      </c>
      <c r="D153" s="1">
        <v>0</v>
      </c>
      <c r="E153" s="1">
        <v>1</v>
      </c>
      <c r="F153" s="1">
        <v>321.3</v>
      </c>
      <c r="G153" s="1">
        <v>56.15</v>
      </c>
      <c r="H153" s="14">
        <v>1</v>
      </c>
    </row>
    <row r="154" spans="1:8" x14ac:dyDescent="0.25">
      <c r="A154" s="1" t="s">
        <v>494</v>
      </c>
      <c r="B154" s="1" t="s">
        <v>495</v>
      </c>
      <c r="C154" s="1">
        <v>1</v>
      </c>
      <c r="D154" s="1">
        <v>0</v>
      </c>
      <c r="E154" s="1">
        <v>1</v>
      </c>
      <c r="F154" s="1">
        <v>269.45</v>
      </c>
      <c r="G154" s="1">
        <v>54.56</v>
      </c>
      <c r="H154" s="14">
        <v>1</v>
      </c>
    </row>
    <row r="155" spans="1:8" x14ac:dyDescent="0.25">
      <c r="A155" s="1" t="s">
        <v>596</v>
      </c>
      <c r="B155" s="1" t="s">
        <v>597</v>
      </c>
      <c r="C155" s="1">
        <v>1</v>
      </c>
      <c r="D155" s="1">
        <v>0</v>
      </c>
      <c r="E155" s="1">
        <v>1</v>
      </c>
      <c r="F155" s="1">
        <v>290.5</v>
      </c>
      <c r="G155" s="1">
        <v>39.04</v>
      </c>
      <c r="H155" s="14">
        <v>1</v>
      </c>
    </row>
    <row r="156" spans="1:8" x14ac:dyDescent="0.25">
      <c r="A156" s="1" t="s">
        <v>504</v>
      </c>
      <c r="B156" s="1" t="s">
        <v>505</v>
      </c>
      <c r="C156" s="1">
        <v>1</v>
      </c>
      <c r="D156" s="1">
        <v>0</v>
      </c>
      <c r="E156" s="1">
        <v>1</v>
      </c>
      <c r="F156" s="1">
        <v>121.12</v>
      </c>
      <c r="G156" s="1">
        <v>8.5399999999999991</v>
      </c>
      <c r="H156" s="14">
        <v>1</v>
      </c>
    </row>
    <row r="157" spans="1:8" x14ac:dyDescent="0.25">
      <c r="A157" s="1" t="s">
        <v>532</v>
      </c>
      <c r="B157" s="1" t="s">
        <v>533</v>
      </c>
      <c r="C157" s="1">
        <v>1</v>
      </c>
      <c r="D157" s="1">
        <v>0</v>
      </c>
      <c r="E157" s="1">
        <v>1</v>
      </c>
      <c r="F157" s="1">
        <v>99.45</v>
      </c>
      <c r="G157" s="1">
        <v>11.75</v>
      </c>
      <c r="H157" s="14">
        <v>1</v>
      </c>
    </row>
    <row r="158" spans="1:8" x14ac:dyDescent="0.25">
      <c r="A158" s="1" t="s">
        <v>534</v>
      </c>
      <c r="B158" s="1" t="s">
        <v>535</v>
      </c>
      <c r="C158" s="1">
        <v>1</v>
      </c>
      <c r="D158" s="1">
        <v>0</v>
      </c>
      <c r="E158" s="1">
        <v>1</v>
      </c>
      <c r="F158" s="1">
        <v>237.15</v>
      </c>
      <c r="G158" s="1">
        <v>54.25</v>
      </c>
      <c r="H158" s="14">
        <v>1</v>
      </c>
    </row>
    <row r="159" spans="1:8" x14ac:dyDescent="0.25">
      <c r="A159" s="1" t="s">
        <v>530</v>
      </c>
      <c r="B159" s="1" t="s">
        <v>531</v>
      </c>
      <c r="C159" s="1">
        <v>1</v>
      </c>
      <c r="D159" s="1">
        <v>0</v>
      </c>
      <c r="E159" s="1">
        <v>1</v>
      </c>
      <c r="F159" s="1">
        <v>125.8</v>
      </c>
      <c r="G159" s="1">
        <v>13.54</v>
      </c>
      <c r="H159" s="14">
        <v>1</v>
      </c>
    </row>
    <row r="160" spans="1:8" x14ac:dyDescent="0.25">
      <c r="A160" s="1" t="s">
        <v>542</v>
      </c>
      <c r="B160" s="1" t="s">
        <v>543</v>
      </c>
      <c r="C160" s="1">
        <v>1</v>
      </c>
      <c r="D160" s="1">
        <v>0</v>
      </c>
      <c r="E160" s="1">
        <v>1</v>
      </c>
      <c r="F160" s="1">
        <v>81.17</v>
      </c>
      <c r="G160" s="1">
        <v>7.48</v>
      </c>
      <c r="H160" s="14">
        <v>1</v>
      </c>
    </row>
    <row r="161" spans="1:8" x14ac:dyDescent="0.25">
      <c r="A161" s="1" t="s">
        <v>544</v>
      </c>
      <c r="B161" s="1" t="s">
        <v>545</v>
      </c>
      <c r="C161" s="1">
        <v>1</v>
      </c>
      <c r="D161" s="1">
        <v>0</v>
      </c>
      <c r="E161" s="1">
        <v>1</v>
      </c>
      <c r="F161" s="1">
        <v>250.32</v>
      </c>
      <c r="G161" s="1">
        <v>50.87</v>
      </c>
      <c r="H161" s="14">
        <v>1</v>
      </c>
    </row>
    <row r="162" spans="1:8" x14ac:dyDescent="0.25">
      <c r="A162" s="1" t="s">
        <v>526</v>
      </c>
      <c r="B162" s="1" t="s">
        <v>527</v>
      </c>
      <c r="C162" s="1">
        <v>1</v>
      </c>
      <c r="D162" s="1">
        <v>0</v>
      </c>
      <c r="E162" s="1">
        <v>1</v>
      </c>
      <c r="F162" s="1">
        <v>369.5</v>
      </c>
      <c r="G162" s="1">
        <v>50.11</v>
      </c>
      <c r="H162" s="14">
        <v>1</v>
      </c>
    </row>
    <row r="163" spans="1:8" x14ac:dyDescent="0.25">
      <c r="A163" s="1" t="s">
        <v>528</v>
      </c>
      <c r="B163" s="1" t="s">
        <v>529</v>
      </c>
      <c r="C163" s="1">
        <v>1</v>
      </c>
      <c r="D163" s="1">
        <v>0</v>
      </c>
      <c r="E163" s="1">
        <v>1</v>
      </c>
      <c r="F163" s="1">
        <v>97.75</v>
      </c>
      <c r="G163" s="1">
        <v>9.4499999999999993</v>
      </c>
      <c r="H163" s="14">
        <v>1</v>
      </c>
    </row>
    <row r="164" spans="1:8" x14ac:dyDescent="0.25">
      <c r="A164" s="1" t="s">
        <v>546</v>
      </c>
      <c r="B164" s="1" t="s">
        <v>547</v>
      </c>
      <c r="C164" s="1">
        <v>1</v>
      </c>
      <c r="D164" s="1">
        <v>0</v>
      </c>
      <c r="E164" s="1">
        <v>1</v>
      </c>
      <c r="F164" s="1">
        <v>204</v>
      </c>
      <c r="G164" s="1">
        <v>38.53</v>
      </c>
      <c r="H164" s="14">
        <v>1</v>
      </c>
    </row>
    <row r="165" spans="1:8" x14ac:dyDescent="0.25">
      <c r="A165" s="1" t="s">
        <v>538</v>
      </c>
      <c r="B165" s="1" t="s">
        <v>539</v>
      </c>
      <c r="C165" s="1">
        <v>1</v>
      </c>
      <c r="D165" s="1">
        <v>0</v>
      </c>
      <c r="E165" s="1">
        <v>1</v>
      </c>
      <c r="F165" s="1">
        <v>260.10000000000002</v>
      </c>
      <c r="G165" s="1">
        <v>42.25</v>
      </c>
      <c r="H165" s="14">
        <v>1</v>
      </c>
    </row>
    <row r="166" spans="1:8" x14ac:dyDescent="0.25">
      <c r="A166" s="1" t="s">
        <v>540</v>
      </c>
      <c r="B166" s="1" t="s">
        <v>541</v>
      </c>
      <c r="C166" s="1">
        <v>1</v>
      </c>
      <c r="D166" s="1">
        <v>0</v>
      </c>
      <c r="E166" s="1">
        <v>1</v>
      </c>
      <c r="F166" s="1">
        <v>135.57</v>
      </c>
      <c r="G166" s="1">
        <v>27.22</v>
      </c>
      <c r="H166" s="14">
        <v>1</v>
      </c>
    </row>
    <row r="167" spans="1:8" x14ac:dyDescent="0.25">
      <c r="A167" s="1" t="s">
        <v>518</v>
      </c>
      <c r="B167" s="1" t="s">
        <v>519</v>
      </c>
      <c r="C167" s="1">
        <v>1</v>
      </c>
      <c r="D167" s="1">
        <v>0</v>
      </c>
      <c r="E167" s="1">
        <v>1</v>
      </c>
      <c r="F167" s="1">
        <v>224.4</v>
      </c>
      <c r="G167" s="1">
        <v>36.61</v>
      </c>
      <c r="H167" s="14">
        <v>1</v>
      </c>
    </row>
    <row r="168" spans="1:8" x14ac:dyDescent="0.25">
      <c r="A168" s="1" t="s">
        <v>520</v>
      </c>
      <c r="B168" s="1" t="s">
        <v>521</v>
      </c>
      <c r="C168" s="1">
        <v>1</v>
      </c>
      <c r="D168" s="1">
        <v>0</v>
      </c>
      <c r="E168" s="1">
        <v>1</v>
      </c>
      <c r="F168" s="1">
        <v>93.5</v>
      </c>
      <c r="G168" s="1">
        <v>4.3499999999999996</v>
      </c>
      <c r="H168" s="14">
        <v>1</v>
      </c>
    </row>
    <row r="169" spans="1:8" x14ac:dyDescent="0.25">
      <c r="A169" s="1" t="s">
        <v>204</v>
      </c>
      <c r="B169" s="1" t="s">
        <v>205</v>
      </c>
      <c r="C169" s="1">
        <v>1</v>
      </c>
      <c r="D169" s="1">
        <v>0</v>
      </c>
      <c r="E169" s="1">
        <v>1</v>
      </c>
      <c r="F169" s="1">
        <v>373.57</v>
      </c>
      <c r="G169" s="1">
        <v>79.98</v>
      </c>
      <c r="H169" s="14">
        <v>1</v>
      </c>
    </row>
    <row r="170" spans="1:8" x14ac:dyDescent="0.25">
      <c r="A170" s="1" t="s">
        <v>522</v>
      </c>
      <c r="B170" s="1" t="s">
        <v>523</v>
      </c>
      <c r="C170" s="1">
        <v>1</v>
      </c>
      <c r="D170" s="1">
        <v>0</v>
      </c>
      <c r="E170" s="1">
        <v>1</v>
      </c>
      <c r="F170" s="1">
        <v>175.52</v>
      </c>
      <c r="G170" s="1">
        <v>22.55</v>
      </c>
      <c r="H170" s="14">
        <v>1</v>
      </c>
    </row>
    <row r="171" spans="1:8" x14ac:dyDescent="0.25">
      <c r="A171" s="1" t="s">
        <v>330</v>
      </c>
      <c r="B171" s="1" t="s">
        <v>331</v>
      </c>
      <c r="C171" s="1">
        <v>1</v>
      </c>
      <c r="D171" s="1">
        <v>0</v>
      </c>
      <c r="E171" s="1">
        <v>1</v>
      </c>
      <c r="F171" s="1">
        <v>160.22</v>
      </c>
      <c r="G171" s="1">
        <v>31.59</v>
      </c>
      <c r="H171" s="14">
        <v>1</v>
      </c>
    </row>
    <row r="172" spans="1:8" x14ac:dyDescent="0.25">
      <c r="A172" s="1" t="s">
        <v>524</v>
      </c>
      <c r="B172" s="1" t="s">
        <v>525</v>
      </c>
      <c r="C172" s="1">
        <v>1</v>
      </c>
      <c r="D172" s="1">
        <v>0</v>
      </c>
      <c r="E172" s="1">
        <v>1</v>
      </c>
      <c r="F172" s="1">
        <v>81.599999999999994</v>
      </c>
      <c r="G172" s="1">
        <v>11.33</v>
      </c>
      <c r="H172" s="14">
        <v>1</v>
      </c>
    </row>
    <row r="173" spans="1:8" x14ac:dyDescent="0.25">
      <c r="A173" s="1" t="s">
        <v>516</v>
      </c>
      <c r="B173" s="1" t="s">
        <v>517</v>
      </c>
      <c r="C173" s="1">
        <v>1</v>
      </c>
      <c r="D173" s="1">
        <v>0</v>
      </c>
      <c r="E173" s="1">
        <v>1</v>
      </c>
      <c r="F173" s="1">
        <v>62.47</v>
      </c>
      <c r="G173" s="1">
        <v>2.4</v>
      </c>
      <c r="H173" s="14">
        <v>1</v>
      </c>
    </row>
    <row r="174" spans="1:8" x14ac:dyDescent="0.25">
      <c r="A174" s="1" t="s">
        <v>510</v>
      </c>
      <c r="B174" s="1" t="s">
        <v>511</v>
      </c>
      <c r="C174" s="1">
        <v>1</v>
      </c>
      <c r="D174" s="1">
        <v>0</v>
      </c>
      <c r="E174" s="1">
        <v>1</v>
      </c>
      <c r="F174" s="1">
        <v>172.12</v>
      </c>
      <c r="G174" s="1">
        <v>23.42</v>
      </c>
      <c r="H174" s="14">
        <v>1</v>
      </c>
    </row>
  </sheetData>
  <autoFilter ref="A1:H1" xr:uid="{246224D8-6527-452D-876A-1B944B1E4354}">
    <sortState xmlns:xlrd2="http://schemas.microsoft.com/office/spreadsheetml/2017/richdata2" ref="A2:H175">
      <sortCondition descending="1" ref="C1"/>
    </sortState>
  </autoFilter>
  <sortState xmlns:xlrd2="http://schemas.microsoft.com/office/spreadsheetml/2017/richdata2" ref="A2:H173">
    <sortCondition ref="A2:A17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SET-25</vt:lpstr>
      <vt:lpstr>SET-26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</dc:creator>
  <cp:lastModifiedBy>Bruno</cp:lastModifiedBy>
  <dcterms:created xsi:type="dcterms:W3CDTF">2026-10-07T10:46:05Z</dcterms:created>
  <dcterms:modified xsi:type="dcterms:W3CDTF">2026-10-08T13:37:08Z</dcterms:modified>
</cp:coreProperties>
</file>